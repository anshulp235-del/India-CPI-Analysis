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1.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2.xml" ContentType="application/vnd.openxmlformats-officedocument.spreadsheetml.pivotTab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5.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3.xml" ContentType="application/vnd.openxmlformats-officedocument.spreadsheetml.pivotTable+xml"/>
  <Override PartName="/xl/drawings/drawing6.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hidePivotFieldList="1" defaultThemeVersion="202300"/>
  <mc:AlternateContent xmlns:mc="http://schemas.openxmlformats.org/markup-compatibility/2006">
    <mc:Choice Requires="x15">
      <x15ac:absPath xmlns:x15ac="http://schemas.microsoft.com/office/spreadsheetml/2010/11/ac" url="C:\Users\hp\Desktop\"/>
    </mc:Choice>
  </mc:AlternateContent>
  <xr:revisionPtr revIDLastSave="0" documentId="13_ncr:1_{A441811B-1C23-46B1-B033-7AD2188D605D}" xr6:coauthVersionLast="47" xr6:coauthVersionMax="47" xr10:uidLastSave="{00000000-0000-0000-0000-000000000000}"/>
  <bookViews>
    <workbookView xWindow="-120" yWindow="-120" windowWidth="20730" windowHeight="11160" firstSheet="4" activeTab="8" xr2:uid="{A7BAD4DB-DCFD-4F07-A254-E5BEC632391B}"/>
  </bookViews>
  <sheets>
    <sheet name="Raw_Data" sheetId="1" r:id="rId1"/>
    <sheet name="Clean_Data" sheetId="2" r:id="rId2"/>
    <sheet name="Q1_Contribution" sheetId="3" r:id="rId3"/>
    <sheet name="Q2_YoY_Trend" sheetId="4" r:id="rId4"/>
    <sheet name="PT YoY Trend" sheetId="11" r:id="rId5"/>
    <sheet name="Q3_Food_Inflation" sheetId="5" r:id="rId6"/>
    <sheet name="Q4_COVID" sheetId="12" r:id="rId7"/>
    <sheet name="Q5_OIL_ANALYSIS" sheetId="7" r:id="rId8"/>
    <sheet name="Dashboard " sheetId="13" r:id="rId9"/>
  </sheets>
  <calcPr calcId="191029"/>
  <pivotCaches>
    <pivotCache cacheId="0" r:id="rId10"/>
    <pivotCache cacheId="1" r:id="rId11"/>
  </pivotCache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BA7" i="7" l="1"/>
  <c r="BA8" i="7"/>
  <c r="BA9" i="7"/>
  <c r="BB9" i="7" s="1"/>
  <c r="BA10" i="7"/>
  <c r="BB10" i="7" s="1"/>
  <c r="BA11" i="7"/>
  <c r="BA12" i="7"/>
  <c r="BA13" i="7"/>
  <c r="BA14" i="7"/>
  <c r="BB14" i="7" s="1"/>
  <c r="BA15" i="7"/>
  <c r="BA16" i="7"/>
  <c r="BA17" i="7"/>
  <c r="BA18" i="7"/>
  <c r="BB18" i="7" s="1"/>
  <c r="BA19" i="7"/>
  <c r="BA20" i="7"/>
  <c r="BA21" i="7"/>
  <c r="BA22" i="7"/>
  <c r="BB22" i="7" s="1"/>
  <c r="BA23" i="7"/>
  <c r="BA24" i="7"/>
  <c r="BA25" i="7"/>
  <c r="BA26" i="7"/>
  <c r="BA27" i="7"/>
  <c r="BA28" i="7"/>
  <c r="BA29" i="7"/>
  <c r="BA30" i="7"/>
  <c r="BA31" i="7"/>
  <c r="BA32" i="7"/>
  <c r="BA33" i="7"/>
  <c r="BA6" i="7"/>
  <c r="AW6" i="7"/>
  <c r="AW7" i="7"/>
  <c r="AW8" i="7"/>
  <c r="AW9" i="7"/>
  <c r="AW10" i="7"/>
  <c r="AW11" i="7"/>
  <c r="AW12" i="7"/>
  <c r="AW13" i="7"/>
  <c r="AW14" i="7"/>
  <c r="AW15" i="7"/>
  <c r="AW16" i="7"/>
  <c r="AW17" i="7"/>
  <c r="AW18" i="7"/>
  <c r="AW19" i="7"/>
  <c r="AW20" i="7"/>
  <c r="AW21" i="7"/>
  <c r="AW22" i="7"/>
  <c r="AW23" i="7"/>
  <c r="AW24" i="7"/>
  <c r="AW25" i="7"/>
  <c r="AW26" i="7"/>
  <c r="AW27" i="7"/>
  <c r="AW28" i="7"/>
  <c r="AW29" i="7"/>
  <c r="AW30" i="7"/>
  <c r="AW31" i="7"/>
  <c r="AW32" i="7"/>
  <c r="AW33" i="7"/>
  <c r="AS6" i="7"/>
  <c r="AS7" i="7"/>
  <c r="AS8" i="7"/>
  <c r="AS9" i="7"/>
  <c r="AS10" i="7"/>
  <c r="AS11" i="7"/>
  <c r="AS12" i="7"/>
  <c r="AS13" i="7"/>
  <c r="AS14" i="7"/>
  <c r="AS15" i="7"/>
  <c r="AS16" i="7"/>
  <c r="AS17" i="7"/>
  <c r="AS18" i="7"/>
  <c r="AS19" i="7"/>
  <c r="AS20" i="7"/>
  <c r="AS21" i="7"/>
  <c r="AS22" i="7"/>
  <c r="AS23" i="7"/>
  <c r="AS24" i="7"/>
  <c r="AS25" i="7"/>
  <c r="AS26" i="7"/>
  <c r="AS27" i="7"/>
  <c r="AS28" i="7"/>
  <c r="AS29" i="7"/>
  <c r="AS30" i="7"/>
  <c r="AS31" i="7"/>
  <c r="AS32" i="7"/>
  <c r="AS33" i="7"/>
  <c r="AO6" i="7"/>
  <c r="AO7" i="7"/>
  <c r="AO8" i="7"/>
  <c r="AO9" i="7"/>
  <c r="AO10" i="7"/>
  <c r="AO11" i="7"/>
  <c r="AO12" i="7"/>
  <c r="AO13" i="7"/>
  <c r="AO14" i="7"/>
  <c r="AO15" i="7"/>
  <c r="AO16" i="7"/>
  <c r="AO17" i="7"/>
  <c r="AO18" i="7"/>
  <c r="AO19" i="7"/>
  <c r="AO20" i="7"/>
  <c r="AO21" i="7"/>
  <c r="AO22" i="7"/>
  <c r="AO23" i="7"/>
  <c r="AO24" i="7"/>
  <c r="AO25" i="7"/>
  <c r="AO26" i="7"/>
  <c r="AO27" i="7"/>
  <c r="AO28" i="7"/>
  <c r="AO29" i="7"/>
  <c r="AO30" i="7"/>
  <c r="AO31" i="7"/>
  <c r="AO32" i="7"/>
  <c r="AO33" i="7"/>
  <c r="AG6" i="7"/>
  <c r="AK7" i="7"/>
  <c r="AK8" i="7"/>
  <c r="AK9" i="7"/>
  <c r="AK10" i="7"/>
  <c r="AK11" i="7"/>
  <c r="AK12" i="7"/>
  <c r="AK13" i="7"/>
  <c r="AK14" i="7"/>
  <c r="AK15" i="7"/>
  <c r="AK16" i="7"/>
  <c r="AK17" i="7"/>
  <c r="AK18" i="7"/>
  <c r="AK19" i="7"/>
  <c r="AK20" i="7"/>
  <c r="AK21" i="7"/>
  <c r="AK22" i="7"/>
  <c r="AK23" i="7"/>
  <c r="AK24" i="7"/>
  <c r="AK25" i="7"/>
  <c r="AK26" i="7"/>
  <c r="AK27" i="7"/>
  <c r="AK28" i="7"/>
  <c r="AK29" i="7"/>
  <c r="AK30" i="7"/>
  <c r="AK31" i="7"/>
  <c r="AK32" i="7"/>
  <c r="AK33" i="7"/>
  <c r="AK6" i="7"/>
  <c r="AG7" i="7"/>
  <c r="AG8" i="7"/>
  <c r="AG9" i="7"/>
  <c r="AG10" i="7"/>
  <c r="AG11" i="7"/>
  <c r="AG12" i="7"/>
  <c r="AG13" i="7"/>
  <c r="AG14" i="7"/>
  <c r="AG15" i="7"/>
  <c r="AG16" i="7"/>
  <c r="AG17" i="7"/>
  <c r="AG18" i="7"/>
  <c r="AG19" i="7"/>
  <c r="AG20" i="7"/>
  <c r="AG21" i="7"/>
  <c r="AG22" i="7"/>
  <c r="AG23" i="7"/>
  <c r="AG24" i="7"/>
  <c r="AG25" i="7"/>
  <c r="AG26" i="7"/>
  <c r="AG27" i="7"/>
  <c r="AG28" i="7"/>
  <c r="AG29" i="7"/>
  <c r="AG30" i="7"/>
  <c r="AG31" i="7"/>
  <c r="AG32" i="7"/>
  <c r="AG33" i="7"/>
  <c r="AC7" i="7"/>
  <c r="AC8" i="7"/>
  <c r="AC9" i="7"/>
  <c r="AC10" i="7"/>
  <c r="AC11" i="7"/>
  <c r="AC12" i="7"/>
  <c r="AC13" i="7"/>
  <c r="AC14" i="7"/>
  <c r="AC15" i="7"/>
  <c r="AC16" i="7"/>
  <c r="AC17" i="7"/>
  <c r="AC18" i="7"/>
  <c r="AC19" i="7"/>
  <c r="AC20" i="7"/>
  <c r="AC21" i="7"/>
  <c r="AC22" i="7"/>
  <c r="AC23" i="7"/>
  <c r="AC24" i="7"/>
  <c r="AC25" i="7"/>
  <c r="AC26" i="7"/>
  <c r="AC27" i="7"/>
  <c r="AC28" i="7"/>
  <c r="AC29" i="7"/>
  <c r="AC30" i="7"/>
  <c r="AC31" i="7"/>
  <c r="AC32" i="7"/>
  <c r="AC33" i="7"/>
  <c r="AC6" i="7"/>
  <c r="Y7" i="7"/>
  <c r="Y8" i="7"/>
  <c r="Y9" i="7"/>
  <c r="Y10" i="7"/>
  <c r="Y11" i="7"/>
  <c r="Y12" i="7"/>
  <c r="Y13" i="7"/>
  <c r="Y14" i="7"/>
  <c r="Y15" i="7"/>
  <c r="Y16" i="7"/>
  <c r="Y17" i="7"/>
  <c r="Y18" i="7"/>
  <c r="Y19" i="7"/>
  <c r="Y20" i="7"/>
  <c r="Y21" i="7"/>
  <c r="Y22" i="7"/>
  <c r="Y23" i="7"/>
  <c r="Y24" i="7"/>
  <c r="Y25" i="7"/>
  <c r="Y26" i="7"/>
  <c r="Y27" i="7"/>
  <c r="Y28" i="7"/>
  <c r="Y29" i="7"/>
  <c r="Y30" i="7"/>
  <c r="Y31" i="7"/>
  <c r="Y32" i="7"/>
  <c r="Y33" i="7"/>
  <c r="Y6" i="7"/>
  <c r="U7" i="7"/>
  <c r="U8" i="7"/>
  <c r="U9" i="7"/>
  <c r="U10" i="7"/>
  <c r="U11" i="7"/>
  <c r="U12" i="7"/>
  <c r="U13" i="7"/>
  <c r="U14" i="7"/>
  <c r="U15" i="7"/>
  <c r="U16" i="7"/>
  <c r="U17" i="7"/>
  <c r="U18" i="7"/>
  <c r="U19" i="7"/>
  <c r="U20" i="7"/>
  <c r="U21" i="7"/>
  <c r="U22" i="7"/>
  <c r="U23" i="7"/>
  <c r="U24" i="7"/>
  <c r="U25" i="7"/>
  <c r="U26" i="7"/>
  <c r="U27" i="7"/>
  <c r="U28" i="7"/>
  <c r="U29" i="7"/>
  <c r="U30" i="7"/>
  <c r="U31" i="7"/>
  <c r="U32" i="7"/>
  <c r="U33" i="7"/>
  <c r="U6" i="7"/>
  <c r="Q7" i="7"/>
  <c r="Q8" i="7"/>
  <c r="Q9" i="7"/>
  <c r="Q10" i="7"/>
  <c r="Q11" i="7"/>
  <c r="Q12" i="7"/>
  <c r="Q13" i="7"/>
  <c r="Q14" i="7"/>
  <c r="Q15" i="7"/>
  <c r="Q16" i="7"/>
  <c r="Q17" i="7"/>
  <c r="Q18" i="7"/>
  <c r="Q19" i="7"/>
  <c r="Q20" i="7"/>
  <c r="Q21" i="7"/>
  <c r="Q22" i="7"/>
  <c r="Q23" i="7"/>
  <c r="Q24" i="7"/>
  <c r="Q25" i="7"/>
  <c r="Q26" i="7"/>
  <c r="Q27" i="7"/>
  <c r="Q28" i="7"/>
  <c r="Q29" i="7"/>
  <c r="Q30" i="7"/>
  <c r="Q31" i="7"/>
  <c r="Q32" i="7"/>
  <c r="Q33" i="7"/>
  <c r="Q6" i="7"/>
  <c r="B7" i="7" a="1"/>
  <c r="B7" i="7" s="1"/>
  <c r="B8" i="7" a="1"/>
  <c r="B8" i="7" s="1"/>
  <c r="B9" i="7" a="1"/>
  <c r="B9" i="7" s="1"/>
  <c r="B10" i="7" a="1"/>
  <c r="B10" i="7" s="1"/>
  <c r="B11" i="7" a="1"/>
  <c r="B11" i="7" s="1"/>
  <c r="B12" i="7" a="1"/>
  <c r="B12" i="7" s="1"/>
  <c r="B13" i="7" a="1"/>
  <c r="B13" i="7" s="1"/>
  <c r="B14" i="7" a="1"/>
  <c r="B14" i="7" s="1"/>
  <c r="B15" i="7" a="1"/>
  <c r="B15" i="7" s="1"/>
  <c r="B16" i="7" a="1"/>
  <c r="B16" i="7" s="1"/>
  <c r="B17" i="7" a="1"/>
  <c r="B17" i="7" s="1"/>
  <c r="B18" i="7" a="1"/>
  <c r="B18" i="7" s="1"/>
  <c r="B19" i="7" a="1"/>
  <c r="B19" i="7" s="1"/>
  <c r="B20" i="7" a="1"/>
  <c r="B20" i="7" s="1"/>
  <c r="B21" i="7" a="1"/>
  <c r="B21" i="7" s="1"/>
  <c r="B22" i="7" a="1"/>
  <c r="B22" i="7" s="1"/>
  <c r="B23" i="7" a="1"/>
  <c r="B23" i="7" s="1"/>
  <c r="B24" i="7" a="1"/>
  <c r="B24" i="7" s="1"/>
  <c r="B25" i="7" a="1"/>
  <c r="B25" i="7" s="1"/>
  <c r="B26" i="7" a="1"/>
  <c r="B26" i="7" s="1"/>
  <c r="B27" i="7" a="1"/>
  <c r="B27" i="7" s="1"/>
  <c r="B28" i="7" a="1"/>
  <c r="B28" i="7" s="1"/>
  <c r="B29" i="7" a="1"/>
  <c r="B29" i="7" s="1"/>
  <c r="B30" i="7" a="1"/>
  <c r="B30" i="7" s="1"/>
  <c r="B31" i="7" a="1"/>
  <c r="B31" i="7" s="1"/>
  <c r="B32" i="7" a="1"/>
  <c r="B32" i="7" s="1"/>
  <c r="B33" i="7" a="1"/>
  <c r="B33" i="7" s="1"/>
  <c r="B6" i="7" a="1"/>
  <c r="B6" i="7" s="1"/>
  <c r="B15" i="12"/>
  <c r="C15" i="12"/>
  <c r="D15" i="12"/>
  <c r="E15" i="12"/>
  <c r="F15" i="12"/>
  <c r="G15" i="12"/>
  <c r="AF32" i="2"/>
  <c r="G17" i="5"/>
  <c r="H17" i="5"/>
  <c r="G16" i="5"/>
  <c r="H16" i="5"/>
  <c r="G15" i="5"/>
  <c r="H15" i="5"/>
  <c r="G14" i="5"/>
  <c r="H14" i="5"/>
  <c r="G13" i="5"/>
  <c r="H13" i="5"/>
  <c r="G12" i="5"/>
  <c r="H12" i="5"/>
  <c r="G11" i="5"/>
  <c r="H11" i="5"/>
  <c r="G10" i="5"/>
  <c r="H10" i="5"/>
  <c r="G9" i="5"/>
  <c r="H9" i="5"/>
  <c r="G8" i="5"/>
  <c r="H8" i="5"/>
  <c r="G7" i="5"/>
  <c r="H7" i="5"/>
  <c r="G6" i="5"/>
  <c r="H6" i="5"/>
  <c r="B7" i="5"/>
  <c r="C8" i="5" s="1"/>
  <c r="B8" i="5"/>
  <c r="C9" i="5" s="1"/>
  <c r="B9" i="5"/>
  <c r="C10" i="5" s="1"/>
  <c r="B10" i="5"/>
  <c r="C11" i="5" s="1"/>
  <c r="B11" i="5"/>
  <c r="B12" i="5"/>
  <c r="B13" i="5"/>
  <c r="B14" i="5"/>
  <c r="C15" i="5" s="1"/>
  <c r="B15" i="5"/>
  <c r="B16" i="5"/>
  <c r="B17" i="5"/>
  <c r="B6" i="5"/>
  <c r="C7" i="5" s="1"/>
  <c r="B4" i="4"/>
  <c r="B5" i="4"/>
  <c r="B6" i="4"/>
  <c r="B7" i="4"/>
  <c r="B8" i="4"/>
  <c r="B9" i="4"/>
  <c r="B10" i="4"/>
  <c r="B11" i="4"/>
  <c r="B12" i="4"/>
  <c r="B13" i="4"/>
  <c r="B14" i="4"/>
  <c r="B15" i="4"/>
  <c r="B16" i="4"/>
  <c r="B17" i="4"/>
  <c r="B18" i="4"/>
  <c r="B19" i="4"/>
  <c r="B20" i="4"/>
  <c r="B21" i="4"/>
  <c r="B22" i="4"/>
  <c r="B23" i="4"/>
  <c r="B24" i="4"/>
  <c r="B25" i="4"/>
  <c r="B26" i="4"/>
  <c r="B27" i="4"/>
  <c r="B28" i="4"/>
  <c r="B29" i="4"/>
  <c r="B30" i="4"/>
  <c r="B31" i="4"/>
  <c r="B32" i="4"/>
  <c r="B33" i="4"/>
  <c r="B34" i="4"/>
  <c r="B35" i="4"/>
  <c r="B36" i="4"/>
  <c r="B37" i="4"/>
  <c r="B38" i="4"/>
  <c r="B39" i="4"/>
  <c r="B40" i="4"/>
  <c r="B41" i="4"/>
  <c r="B42" i="4"/>
  <c r="B43" i="4"/>
  <c r="B44" i="4"/>
  <c r="B45" i="4"/>
  <c r="B46" i="4"/>
  <c r="B47" i="4"/>
  <c r="B48" i="4"/>
  <c r="B49" i="4"/>
  <c r="B50" i="4"/>
  <c r="B51" i="4"/>
  <c r="B52" i="4"/>
  <c r="B53" i="4"/>
  <c r="B54" i="4"/>
  <c r="B55" i="4"/>
  <c r="B56" i="4"/>
  <c r="B57" i="4"/>
  <c r="B58" i="4"/>
  <c r="B59" i="4"/>
  <c r="B60" i="4"/>
  <c r="B61" i="4"/>
  <c r="B62" i="4"/>
  <c r="B63" i="4"/>
  <c r="B64" i="4"/>
  <c r="B65" i="4"/>
  <c r="B66" i="4"/>
  <c r="B67" i="4"/>
  <c r="B68" i="4"/>
  <c r="B69" i="4"/>
  <c r="B70" i="4"/>
  <c r="B71" i="4"/>
  <c r="B72" i="4"/>
  <c r="B73" i="4"/>
  <c r="B74" i="4"/>
  <c r="B75" i="4"/>
  <c r="B76" i="4"/>
  <c r="B77" i="4"/>
  <c r="B78" i="4"/>
  <c r="B3" i="4"/>
  <c r="A3" i="4"/>
  <c r="B18" i="3" a="1"/>
  <c r="B18" i="3" s="1"/>
  <c r="B17" i="3" a="1"/>
  <c r="B17" i="3" s="1"/>
  <c r="B16" i="3" a="1"/>
  <c r="B16" i="3" s="1"/>
  <c r="B15" i="3" a="1"/>
  <c r="B15" i="3" s="1"/>
  <c r="B14" i="3" a="1"/>
  <c r="B14" i="3" s="1"/>
  <c r="B13" i="3" a="1"/>
  <c r="B13" i="3" s="1"/>
  <c r="B12" i="3" a="1"/>
  <c r="B12" i="3" s="1"/>
  <c r="B11" i="3" a="1"/>
  <c r="B11" i="3" s="1"/>
  <c r="B10" i="3" a="1"/>
  <c r="B10" i="3" s="1"/>
  <c r="B9" i="3" a="1"/>
  <c r="B9" i="3" s="1"/>
  <c r="B8" i="3" a="1"/>
  <c r="B8" i="3" s="1"/>
  <c r="B7" i="3" a="1"/>
  <c r="B7" i="3" s="1"/>
  <c r="D2" i="2"/>
  <c r="AF2" i="2" s="1"/>
  <c r="D3" i="2"/>
  <c r="AF3" i="2" s="1"/>
  <c r="D4" i="2"/>
  <c r="AF4" i="2" s="1"/>
  <c r="D5" i="2"/>
  <c r="AF5" i="2" s="1"/>
  <c r="D6" i="2"/>
  <c r="AF6" i="2" s="1"/>
  <c r="D7" i="2"/>
  <c r="AF7" i="2" s="1"/>
  <c r="D8" i="2"/>
  <c r="AF8" i="2" s="1"/>
  <c r="D9" i="2"/>
  <c r="AF9" i="2" s="1"/>
  <c r="D10" i="2"/>
  <c r="AF10" i="2" s="1"/>
  <c r="D11" i="2"/>
  <c r="AF11" i="2" s="1"/>
  <c r="D12" i="2"/>
  <c r="AF12" i="2" s="1"/>
  <c r="D13" i="2"/>
  <c r="AF13" i="2" s="1"/>
  <c r="D14" i="2"/>
  <c r="AF14" i="2" s="1"/>
  <c r="D15" i="2"/>
  <c r="AF15" i="2" s="1"/>
  <c r="D16" i="2"/>
  <c r="AF16" i="2" s="1"/>
  <c r="D17" i="2"/>
  <c r="AF17" i="2" s="1"/>
  <c r="D18" i="2"/>
  <c r="AF18" i="2" s="1"/>
  <c r="D19" i="2"/>
  <c r="AF19" i="2" s="1"/>
  <c r="D20" i="2"/>
  <c r="AF20" i="2" s="1"/>
  <c r="D21" i="2"/>
  <c r="AF21" i="2" s="1"/>
  <c r="D22" i="2"/>
  <c r="AF22" i="2" s="1"/>
  <c r="D23" i="2"/>
  <c r="AF23" i="2" s="1"/>
  <c r="D24" i="2"/>
  <c r="AF24" i="2" s="1"/>
  <c r="D25" i="2"/>
  <c r="AF25" i="2" s="1"/>
  <c r="D26" i="2"/>
  <c r="AF26" i="2" s="1"/>
  <c r="D27" i="2"/>
  <c r="AF27" i="2" s="1"/>
  <c r="D28" i="2"/>
  <c r="AF28" i="2" s="1"/>
  <c r="D29" i="2"/>
  <c r="AF29" i="2" s="1"/>
  <c r="D30" i="2"/>
  <c r="AF30" i="2" s="1"/>
  <c r="D31" i="2"/>
  <c r="AF31" i="2" s="1"/>
  <c r="D33" i="2"/>
  <c r="AF33" i="2" s="1"/>
  <c r="D34" i="2"/>
  <c r="AF34" i="2" s="1"/>
  <c r="D35" i="2"/>
  <c r="AF35" i="2" s="1"/>
  <c r="D36" i="2"/>
  <c r="AF36" i="2" s="1"/>
  <c r="D37" i="2"/>
  <c r="AF37" i="2" s="1"/>
  <c r="D38" i="2"/>
  <c r="AF38" i="2" s="1"/>
  <c r="D39" i="2"/>
  <c r="AF39" i="2" s="1"/>
  <c r="D40" i="2"/>
  <c r="AF40" i="2" s="1"/>
  <c r="D41" i="2"/>
  <c r="AF41" i="2" s="1"/>
  <c r="D42" i="2"/>
  <c r="AF42" i="2" s="1"/>
  <c r="D43" i="2"/>
  <c r="AF43" i="2" s="1"/>
  <c r="D44" i="2"/>
  <c r="AF44" i="2" s="1"/>
  <c r="D45" i="2"/>
  <c r="AF45" i="2" s="1"/>
  <c r="D46" i="2"/>
  <c r="AF46" i="2" s="1"/>
  <c r="D47" i="2"/>
  <c r="AF47" i="2" s="1"/>
  <c r="D48" i="2"/>
  <c r="AF48" i="2" s="1"/>
  <c r="D49" i="2"/>
  <c r="AF49" i="2" s="1"/>
  <c r="D50" i="2"/>
  <c r="AF50" i="2" s="1"/>
  <c r="D51" i="2"/>
  <c r="AF51" i="2" s="1"/>
  <c r="D52" i="2"/>
  <c r="AF52" i="2" s="1"/>
  <c r="D53" i="2"/>
  <c r="AF53" i="2" s="1"/>
  <c r="D54" i="2"/>
  <c r="AF54" i="2" s="1"/>
  <c r="D55" i="2"/>
  <c r="AF55" i="2" s="1"/>
  <c r="D56" i="2"/>
  <c r="AF56" i="2" s="1"/>
  <c r="D57" i="2"/>
  <c r="AF57" i="2" s="1"/>
  <c r="D58" i="2"/>
  <c r="AF58" i="2" s="1"/>
  <c r="D59" i="2"/>
  <c r="AF59" i="2" s="1"/>
  <c r="D60" i="2"/>
  <c r="AF60" i="2" s="1"/>
  <c r="D61" i="2"/>
  <c r="AF61" i="2" s="1"/>
  <c r="D62" i="2"/>
  <c r="AF62" i="2" s="1"/>
  <c r="D63" i="2"/>
  <c r="AF63" i="2" s="1"/>
  <c r="D64" i="2"/>
  <c r="AF64" i="2" s="1"/>
  <c r="D65" i="2"/>
  <c r="AF65" i="2" s="1"/>
  <c r="D66" i="2"/>
  <c r="AF66" i="2" s="1"/>
  <c r="D67" i="2"/>
  <c r="AF67" i="2" s="1"/>
  <c r="D68" i="2"/>
  <c r="AF68" i="2" s="1"/>
  <c r="D69" i="2"/>
  <c r="AF69" i="2" s="1"/>
  <c r="D70" i="2"/>
  <c r="AF70" i="2" s="1"/>
  <c r="D71" i="2"/>
  <c r="AF71" i="2" s="1"/>
  <c r="D72" i="2"/>
  <c r="AF72" i="2" s="1"/>
  <c r="D73" i="2"/>
  <c r="AF73" i="2" s="1"/>
  <c r="D74" i="2"/>
  <c r="AF74" i="2" s="1"/>
  <c r="D75" i="2"/>
  <c r="AF75" i="2" s="1"/>
  <c r="D76" i="2"/>
  <c r="AF76" i="2" s="1"/>
  <c r="D77" i="2"/>
  <c r="AF77" i="2" s="1"/>
  <c r="D78" i="2"/>
  <c r="AF78" i="2" s="1"/>
  <c r="D79" i="2"/>
  <c r="AF79" i="2" s="1"/>
  <c r="D80" i="2"/>
  <c r="AF80" i="2" s="1"/>
  <c r="D81" i="2"/>
  <c r="AF81" i="2" s="1"/>
  <c r="D82" i="2"/>
  <c r="AF82" i="2" s="1"/>
  <c r="D83" i="2"/>
  <c r="AF83" i="2" s="1"/>
  <c r="D84" i="2"/>
  <c r="AF84" i="2" s="1"/>
  <c r="D85" i="2"/>
  <c r="AF85" i="2" s="1"/>
  <c r="D86" i="2"/>
  <c r="AF86" i="2" s="1"/>
  <c r="D87" i="2"/>
  <c r="AF87" i="2" s="1"/>
  <c r="D88" i="2"/>
  <c r="AF88" i="2" s="1"/>
  <c r="D89" i="2"/>
  <c r="AF89" i="2" s="1"/>
  <c r="D90" i="2"/>
  <c r="AF90" i="2" s="1"/>
  <c r="D91" i="2"/>
  <c r="AF91" i="2" s="1"/>
  <c r="D92" i="2"/>
  <c r="AF92" i="2" s="1"/>
  <c r="D93" i="2"/>
  <c r="AF93" i="2" s="1"/>
  <c r="D94" i="2"/>
  <c r="AF94" i="2" s="1"/>
  <c r="D95" i="2"/>
  <c r="AF95" i="2" s="1"/>
  <c r="D96" i="2"/>
  <c r="AF96" i="2" s="1"/>
  <c r="D97" i="2"/>
  <c r="AF97" i="2" s="1"/>
  <c r="D98" i="2"/>
  <c r="AF98" i="2" s="1"/>
  <c r="D99" i="2"/>
  <c r="AF99" i="2" s="1"/>
  <c r="D100" i="2"/>
  <c r="AF100" i="2" s="1"/>
  <c r="D101" i="2"/>
  <c r="AF101" i="2" s="1"/>
  <c r="D102" i="2"/>
  <c r="AF102" i="2" s="1"/>
  <c r="D103" i="2"/>
  <c r="AF103" i="2" s="1"/>
  <c r="D104" i="2"/>
  <c r="AF104" i="2" s="1"/>
  <c r="D105" i="2"/>
  <c r="AF105" i="2" s="1"/>
  <c r="D106" i="2"/>
  <c r="AF106" i="2" s="1"/>
  <c r="D107" i="2"/>
  <c r="AF107" i="2" s="1"/>
  <c r="D108" i="2"/>
  <c r="AF108" i="2" s="1"/>
  <c r="D109" i="2"/>
  <c r="AF109" i="2" s="1"/>
  <c r="D110" i="2"/>
  <c r="AF110" i="2" s="1"/>
  <c r="D111" i="2"/>
  <c r="AF111" i="2" s="1"/>
  <c r="D112" i="2"/>
  <c r="AF112" i="2" s="1"/>
  <c r="D113" i="2"/>
  <c r="AF113" i="2" s="1"/>
  <c r="D114" i="2"/>
  <c r="AF114" i="2" s="1"/>
  <c r="D115" i="2"/>
  <c r="AF115" i="2" s="1"/>
  <c r="D116" i="2"/>
  <c r="AF116" i="2" s="1"/>
  <c r="D117" i="2"/>
  <c r="AF117" i="2" s="1"/>
  <c r="D118" i="2"/>
  <c r="AF118" i="2" s="1"/>
  <c r="D119" i="2"/>
  <c r="AF119" i="2" s="1"/>
  <c r="D120" i="2"/>
  <c r="AF120" i="2" s="1"/>
  <c r="D121" i="2"/>
  <c r="AF121" i="2" s="1"/>
  <c r="D122" i="2"/>
  <c r="AF122" i="2" s="1"/>
  <c r="D123" i="2"/>
  <c r="AF123" i="2" s="1"/>
  <c r="D124" i="2"/>
  <c r="AF124" i="2" s="1"/>
  <c r="D125" i="2"/>
  <c r="AF125" i="2" s="1"/>
  <c r="D126" i="2"/>
  <c r="AF126" i="2" s="1"/>
  <c r="D127" i="2"/>
  <c r="AF127" i="2" s="1"/>
  <c r="D128" i="2"/>
  <c r="AF128" i="2" s="1"/>
  <c r="D129" i="2"/>
  <c r="AF129" i="2" s="1"/>
  <c r="D130" i="2"/>
  <c r="AF130" i="2" s="1"/>
  <c r="D131" i="2"/>
  <c r="AF131" i="2" s="1"/>
  <c r="D132" i="2"/>
  <c r="AF132" i="2" s="1"/>
  <c r="D133" i="2"/>
  <c r="AF133" i="2" s="1"/>
  <c r="D134" i="2"/>
  <c r="AF134" i="2" s="1"/>
  <c r="D135" i="2"/>
  <c r="AF135" i="2" s="1"/>
  <c r="D136" i="2"/>
  <c r="AF136" i="2" s="1"/>
  <c r="D137" i="2"/>
  <c r="AF137" i="2" s="1"/>
  <c r="D138" i="2"/>
  <c r="AF138" i="2" s="1"/>
  <c r="D139" i="2"/>
  <c r="AF139" i="2" s="1"/>
  <c r="D140" i="2"/>
  <c r="AF140" i="2" s="1"/>
  <c r="D141" i="2"/>
  <c r="AF141" i="2" s="1"/>
  <c r="D142" i="2"/>
  <c r="AF142" i="2" s="1"/>
  <c r="D143" i="2"/>
  <c r="AF143" i="2" s="1"/>
  <c r="D144" i="2"/>
  <c r="AF144" i="2" s="1"/>
  <c r="D145" i="2"/>
  <c r="AF145" i="2" s="1"/>
  <c r="D146" i="2"/>
  <c r="AF146" i="2" s="1"/>
  <c r="D147" i="2"/>
  <c r="AF147" i="2" s="1"/>
  <c r="D148" i="2"/>
  <c r="AF148" i="2" s="1"/>
  <c r="D149" i="2"/>
  <c r="AF149" i="2" s="1"/>
  <c r="D150" i="2"/>
  <c r="AF150" i="2" s="1"/>
  <c r="D151" i="2"/>
  <c r="AF151" i="2" s="1"/>
  <c r="D152" i="2"/>
  <c r="AF152" i="2" s="1"/>
  <c r="D153" i="2"/>
  <c r="AF153" i="2" s="1"/>
  <c r="D154" i="2"/>
  <c r="AF154" i="2" s="1"/>
  <c r="D155" i="2"/>
  <c r="AF155" i="2" s="1"/>
  <c r="D156" i="2"/>
  <c r="AF156" i="2" s="1"/>
  <c r="D157" i="2"/>
  <c r="AF157" i="2" s="1"/>
  <c r="D158" i="2"/>
  <c r="AF158" i="2" s="1"/>
  <c r="D159" i="2"/>
  <c r="AF159" i="2" s="1"/>
  <c r="D160" i="2"/>
  <c r="AF160" i="2" s="1"/>
  <c r="D161" i="2"/>
  <c r="AF161" i="2" s="1"/>
  <c r="D162" i="2"/>
  <c r="AF162" i="2" s="1"/>
  <c r="D163" i="2"/>
  <c r="AF163" i="2" s="1"/>
  <c r="D164" i="2"/>
  <c r="AF164" i="2" s="1"/>
  <c r="D165" i="2"/>
  <c r="AF165" i="2" s="1"/>
  <c r="D166" i="2"/>
  <c r="AF166" i="2" s="1"/>
  <c r="D167" i="2"/>
  <c r="AF167" i="2" s="1"/>
  <c r="D168" i="2"/>
  <c r="AF168" i="2" s="1"/>
  <c r="D169" i="2"/>
  <c r="AF169" i="2" s="1"/>
  <c r="D170" i="2"/>
  <c r="AF170" i="2" s="1"/>
  <c r="D171" i="2"/>
  <c r="AF171" i="2" s="1"/>
  <c r="D172" i="2"/>
  <c r="AF172" i="2" s="1"/>
  <c r="D173" i="2"/>
  <c r="AF173" i="2" s="1"/>
  <c r="D174" i="2"/>
  <c r="AF174" i="2" s="1"/>
  <c r="D175" i="2"/>
  <c r="AF175" i="2" s="1"/>
  <c r="D176" i="2"/>
  <c r="AF176" i="2" s="1"/>
  <c r="D177" i="2"/>
  <c r="AF177" i="2" s="1"/>
  <c r="D178" i="2"/>
  <c r="AF178" i="2" s="1"/>
  <c r="D179" i="2"/>
  <c r="AF179" i="2" s="1"/>
  <c r="D180" i="2"/>
  <c r="AF180" i="2" s="1"/>
  <c r="D181" i="2"/>
  <c r="AF181" i="2" s="1"/>
  <c r="D182" i="2"/>
  <c r="AF182" i="2" s="1"/>
  <c r="D183" i="2"/>
  <c r="AF183" i="2" s="1"/>
  <c r="D184" i="2"/>
  <c r="AF184" i="2" s="1"/>
  <c r="D185" i="2"/>
  <c r="AF185" i="2" s="1"/>
  <c r="D186" i="2"/>
  <c r="AF186" i="2" s="1"/>
  <c r="D187" i="2"/>
  <c r="AF187" i="2" s="1"/>
  <c r="D188" i="2"/>
  <c r="AF188" i="2" s="1"/>
  <c r="D189" i="2"/>
  <c r="AF189" i="2" s="1"/>
  <c r="D190" i="2"/>
  <c r="AF190" i="2" s="1"/>
  <c r="D191" i="2"/>
  <c r="AF191" i="2" s="1"/>
  <c r="D192" i="2"/>
  <c r="AF192" i="2" s="1"/>
  <c r="D193" i="2"/>
  <c r="AF193" i="2" s="1"/>
  <c r="D194" i="2"/>
  <c r="AF194" i="2" s="1"/>
  <c r="D195" i="2"/>
  <c r="AF195" i="2" s="1"/>
  <c r="D196" i="2"/>
  <c r="AF196" i="2" s="1"/>
  <c r="D197" i="2"/>
  <c r="AF197" i="2" s="1"/>
  <c r="D198" i="2"/>
  <c r="AF198" i="2" s="1"/>
  <c r="D199" i="2"/>
  <c r="AF199" i="2" s="1"/>
  <c r="D200" i="2"/>
  <c r="AF200" i="2" s="1"/>
  <c r="D201" i="2"/>
  <c r="AF201" i="2" s="1"/>
  <c r="D202" i="2"/>
  <c r="AF202" i="2" s="1"/>
  <c r="D203" i="2"/>
  <c r="AF203" i="2" s="1"/>
  <c r="D204" i="2"/>
  <c r="AF204" i="2" s="1"/>
  <c r="D205" i="2"/>
  <c r="AF205" i="2" s="1"/>
  <c r="D206" i="2"/>
  <c r="AF206" i="2" s="1"/>
  <c r="D207" i="2"/>
  <c r="AF207" i="2" s="1"/>
  <c r="D208" i="2"/>
  <c r="AF208" i="2" s="1"/>
  <c r="D209" i="2"/>
  <c r="AF209" i="2" s="1"/>
  <c r="D210" i="2"/>
  <c r="AF210" i="2" s="1"/>
  <c r="D211" i="2"/>
  <c r="AF211" i="2" s="1"/>
  <c r="D212" i="2"/>
  <c r="AF212" i="2" s="1"/>
  <c r="D213" i="2"/>
  <c r="AF213" i="2" s="1"/>
  <c r="D214" i="2"/>
  <c r="AF214" i="2" s="1"/>
  <c r="D215" i="2"/>
  <c r="AF215" i="2" s="1"/>
  <c r="D216" i="2"/>
  <c r="AF216" i="2" s="1"/>
  <c r="D217" i="2"/>
  <c r="AF217" i="2" s="1"/>
  <c r="D218" i="2"/>
  <c r="AF218" i="2" s="1"/>
  <c r="D219" i="2"/>
  <c r="AF219" i="2" s="1"/>
  <c r="D220" i="2"/>
  <c r="AF220" i="2" s="1"/>
  <c r="D221" i="2"/>
  <c r="AF221" i="2" s="1"/>
  <c r="D222" i="2"/>
  <c r="AF222" i="2" s="1"/>
  <c r="D223" i="2"/>
  <c r="AF223" i="2" s="1"/>
  <c r="D224" i="2"/>
  <c r="AF224" i="2" s="1"/>
  <c r="D225" i="2"/>
  <c r="AF225" i="2" s="1"/>
  <c r="D226" i="2"/>
  <c r="AF226" i="2" s="1"/>
  <c r="D227" i="2"/>
  <c r="AF227" i="2" s="1"/>
  <c r="D228" i="2"/>
  <c r="AF228" i="2" s="1"/>
  <c r="D229" i="2"/>
  <c r="AF229" i="2" s="1"/>
  <c r="D230" i="2"/>
  <c r="AF230" i="2" s="1"/>
  <c r="D231" i="2"/>
  <c r="AF231" i="2" s="1"/>
  <c r="D232" i="2"/>
  <c r="AF232" i="2" s="1"/>
  <c r="D233" i="2"/>
  <c r="AF233" i="2" s="1"/>
  <c r="D234" i="2"/>
  <c r="AF234" i="2" s="1"/>
  <c r="D235" i="2"/>
  <c r="AF235" i="2" s="1"/>
  <c r="D236" i="2"/>
  <c r="AF236" i="2" s="1"/>
  <c r="D237" i="2"/>
  <c r="AF237" i="2" s="1"/>
  <c r="D238" i="2"/>
  <c r="AF238" i="2" s="1"/>
  <c r="D239" i="2"/>
  <c r="AF239" i="2" s="1"/>
  <c r="D240" i="2"/>
  <c r="AF240" i="2" s="1"/>
  <c r="D241" i="2"/>
  <c r="AF241" i="2" s="1"/>
  <c r="D242" i="2"/>
  <c r="AF242" i="2" s="1"/>
  <c r="D243" i="2"/>
  <c r="AF243" i="2" s="1"/>
  <c r="D244" i="2"/>
  <c r="AF244" i="2" s="1"/>
  <c r="D245" i="2"/>
  <c r="AF245" i="2" s="1"/>
  <c r="D246" i="2"/>
  <c r="AF246" i="2" s="1"/>
  <c r="D247" i="2"/>
  <c r="AF247" i="2" s="1"/>
  <c r="D248" i="2"/>
  <c r="AF248" i="2" s="1"/>
  <c r="D249" i="2"/>
  <c r="AF249" i="2" s="1"/>
  <c r="D250" i="2"/>
  <c r="AF250" i="2" s="1"/>
  <c r="D251" i="2"/>
  <c r="AF251" i="2" s="1"/>
  <c r="D252" i="2"/>
  <c r="AF252" i="2" s="1"/>
  <c r="D253" i="2"/>
  <c r="AF253" i="2" s="1"/>
  <c r="D254" i="2"/>
  <c r="AF254" i="2" s="1"/>
  <c r="D255" i="2"/>
  <c r="AF255" i="2" s="1"/>
  <c r="D256" i="2"/>
  <c r="AF256" i="2" s="1"/>
  <c r="D257" i="2"/>
  <c r="AF257" i="2" s="1"/>
  <c r="D258" i="2"/>
  <c r="AF258" i="2" s="1"/>
  <c r="D259" i="2"/>
  <c r="AF259" i="2" s="1"/>
  <c r="D260" i="2"/>
  <c r="AF260" i="2" s="1"/>
  <c r="D261" i="2"/>
  <c r="AF261" i="2" s="1"/>
  <c r="D262" i="2"/>
  <c r="AF262" i="2" s="1"/>
  <c r="D263" i="2"/>
  <c r="AF263" i="2" s="1"/>
  <c r="D264" i="2"/>
  <c r="AF264" i="2" s="1"/>
  <c r="D265" i="2"/>
  <c r="AF265" i="2" s="1"/>
  <c r="D266" i="2"/>
  <c r="AF266" i="2" s="1"/>
  <c r="D267" i="2"/>
  <c r="AF267" i="2" s="1"/>
  <c r="D268" i="2"/>
  <c r="AF268" i="2" s="1"/>
  <c r="D269" i="2"/>
  <c r="AF269" i="2" s="1"/>
  <c r="D270" i="2"/>
  <c r="AF270" i="2" s="1"/>
  <c r="D271" i="2"/>
  <c r="AF271" i="2" s="1"/>
  <c r="D272" i="2"/>
  <c r="AF272" i="2" s="1"/>
  <c r="D273" i="2"/>
  <c r="AF273" i="2" s="1"/>
  <c r="D274" i="2"/>
  <c r="AF274" i="2" s="1"/>
  <c r="D275" i="2"/>
  <c r="AF275" i="2" s="1"/>
  <c r="D276" i="2"/>
  <c r="AF276" i="2" s="1"/>
  <c r="D277" i="2"/>
  <c r="AF277" i="2" s="1"/>
  <c r="D278" i="2"/>
  <c r="AF278" i="2" s="1"/>
  <c r="D279" i="2"/>
  <c r="AF279" i="2" s="1"/>
  <c r="D280" i="2"/>
  <c r="AF280" i="2" s="1"/>
  <c r="D281" i="2"/>
  <c r="AF281" i="2" s="1"/>
  <c r="D282" i="2"/>
  <c r="AF282" i="2" s="1"/>
  <c r="D283" i="2"/>
  <c r="AF283" i="2" s="1"/>
  <c r="D284" i="2"/>
  <c r="AF284" i="2" s="1"/>
  <c r="D285" i="2"/>
  <c r="AF285" i="2" s="1"/>
  <c r="D286" i="2"/>
  <c r="AF286" i="2" s="1"/>
  <c r="D287" i="2"/>
  <c r="AF287" i="2" s="1"/>
  <c r="D288" i="2"/>
  <c r="AF288" i="2" s="1"/>
  <c r="D289" i="2"/>
  <c r="AF289" i="2" s="1"/>
  <c r="D290" i="2"/>
  <c r="AF290" i="2" s="1"/>
  <c r="D291" i="2"/>
  <c r="AF291" i="2" s="1"/>
  <c r="D292" i="2"/>
  <c r="AF292" i="2" s="1"/>
  <c r="D293" i="2"/>
  <c r="AF293" i="2" s="1"/>
  <c r="D294" i="2"/>
  <c r="AF294" i="2" s="1"/>
  <c r="D295" i="2"/>
  <c r="AF295" i="2" s="1"/>
  <c r="D296" i="2"/>
  <c r="AF296" i="2" s="1"/>
  <c r="D297" i="2"/>
  <c r="AF297" i="2" s="1"/>
  <c r="D298" i="2"/>
  <c r="AF298" i="2" s="1"/>
  <c r="D299" i="2"/>
  <c r="AF299" i="2" s="1"/>
  <c r="D300" i="2"/>
  <c r="AF300" i="2" s="1"/>
  <c r="D301" i="2"/>
  <c r="AF301" i="2" s="1"/>
  <c r="D302" i="2"/>
  <c r="AF302" i="2" s="1"/>
  <c r="D303" i="2"/>
  <c r="AF303" i="2" s="1"/>
  <c r="D304" i="2"/>
  <c r="AF304" i="2" s="1"/>
  <c r="D305" i="2"/>
  <c r="AF305" i="2" s="1"/>
  <c r="D306" i="2"/>
  <c r="AF306" i="2" s="1"/>
  <c r="D307" i="2"/>
  <c r="AF307" i="2" s="1"/>
  <c r="D308" i="2"/>
  <c r="AF308" i="2" s="1"/>
  <c r="D309" i="2"/>
  <c r="AF309" i="2" s="1"/>
  <c r="D310" i="2"/>
  <c r="AF310" i="2" s="1"/>
  <c r="D311" i="2"/>
  <c r="AF311" i="2" s="1"/>
  <c r="D312" i="2"/>
  <c r="AF312" i="2" s="1"/>
  <c r="D313" i="2"/>
  <c r="AF313" i="2" s="1"/>
  <c r="D314" i="2"/>
  <c r="AF314" i="2" s="1"/>
  <c r="D315" i="2"/>
  <c r="AF315" i="2" s="1"/>
  <c r="D316" i="2"/>
  <c r="AF316" i="2" s="1"/>
  <c r="D317" i="2"/>
  <c r="AF317" i="2" s="1"/>
  <c r="D318" i="2"/>
  <c r="AF318" i="2" s="1"/>
  <c r="D319" i="2"/>
  <c r="AF319" i="2" s="1"/>
  <c r="D320" i="2"/>
  <c r="AF320" i="2" s="1"/>
  <c r="D321" i="2"/>
  <c r="AF321" i="2" s="1"/>
  <c r="D322" i="2"/>
  <c r="AF322" i="2" s="1"/>
  <c r="D323" i="2"/>
  <c r="AF323" i="2" s="1"/>
  <c r="D324" i="2"/>
  <c r="AF324" i="2" s="1"/>
  <c r="D325" i="2"/>
  <c r="AF325" i="2" s="1"/>
  <c r="D326" i="2"/>
  <c r="AF326" i="2" s="1"/>
  <c r="D327" i="2"/>
  <c r="AF327" i="2" s="1"/>
  <c r="D328" i="2"/>
  <c r="AF328" i="2" s="1"/>
  <c r="D329" i="2"/>
  <c r="AF329" i="2" s="1"/>
  <c r="D330" i="2"/>
  <c r="AF330" i="2" s="1"/>
  <c r="D331" i="2"/>
  <c r="AF331" i="2" s="1"/>
  <c r="D332" i="2"/>
  <c r="AF332" i="2" s="1"/>
  <c r="D333" i="2"/>
  <c r="AF333" i="2" s="1"/>
  <c r="D334" i="2"/>
  <c r="AF334" i="2" s="1"/>
  <c r="D335" i="2"/>
  <c r="AF335" i="2" s="1"/>
  <c r="D336" i="2"/>
  <c r="AF336" i="2" s="1"/>
  <c r="D337" i="2"/>
  <c r="AF337" i="2" s="1"/>
  <c r="D338" i="2"/>
  <c r="AF338" i="2" s="1"/>
  <c r="D339" i="2"/>
  <c r="AF339" i="2" s="1"/>
  <c r="D340" i="2"/>
  <c r="AF340" i="2" s="1"/>
  <c r="D341" i="2"/>
  <c r="AF341" i="2" s="1"/>
  <c r="D342" i="2"/>
  <c r="AF342" i="2" s="1"/>
  <c r="D343" i="2"/>
  <c r="AF343" i="2" s="1"/>
  <c r="D344" i="2"/>
  <c r="AF344" i="2" s="1"/>
  <c r="D345" i="2"/>
  <c r="AF345" i="2" s="1"/>
  <c r="D346" i="2"/>
  <c r="AF346" i="2" s="1"/>
  <c r="D347" i="2"/>
  <c r="AF347" i="2" s="1"/>
  <c r="D348" i="2"/>
  <c r="AF348" i="2" s="1"/>
  <c r="D349" i="2"/>
  <c r="AF349" i="2" s="1"/>
  <c r="D350" i="2"/>
  <c r="AF350" i="2" s="1"/>
  <c r="D351" i="2"/>
  <c r="AF351" i="2" s="1"/>
  <c r="D352" i="2"/>
  <c r="AF352" i="2" s="1"/>
  <c r="D353" i="2"/>
  <c r="AF353" i="2" s="1"/>
  <c r="D354" i="2"/>
  <c r="AF354" i="2" s="1"/>
  <c r="D355" i="2"/>
  <c r="AF355" i="2" s="1"/>
  <c r="D356" i="2"/>
  <c r="AF356" i="2" s="1"/>
  <c r="D357" i="2"/>
  <c r="AF357" i="2" s="1"/>
  <c r="D358" i="2"/>
  <c r="AF358" i="2" s="1"/>
  <c r="D359" i="2"/>
  <c r="AF359" i="2" s="1"/>
  <c r="D360" i="2"/>
  <c r="AF360" i="2" s="1"/>
  <c r="D361" i="2"/>
  <c r="AF361" i="2" s="1"/>
  <c r="D362" i="2"/>
  <c r="AF362" i="2" s="1"/>
  <c r="D363" i="2"/>
  <c r="AF363" i="2" s="1"/>
  <c r="D364" i="2"/>
  <c r="AF364" i="2" s="1"/>
  <c r="D365" i="2"/>
  <c r="AF365" i="2" s="1"/>
  <c r="D366" i="2"/>
  <c r="AF366" i="2" s="1"/>
  <c r="D367" i="2"/>
  <c r="AF367" i="2" s="1"/>
  <c r="D368" i="2"/>
  <c r="AF368" i="2" s="1"/>
  <c r="D369" i="2"/>
  <c r="AF369" i="2" s="1"/>
  <c r="D370" i="2"/>
  <c r="AF370" i="2" s="1"/>
  <c r="D371" i="2"/>
  <c r="AF371" i="2" s="1"/>
  <c r="D372" i="2"/>
  <c r="AF372" i="2" s="1"/>
  <c r="D373" i="2"/>
  <c r="AF373" i="2" s="1"/>
  <c r="C25" i="7" l="1"/>
  <c r="C21" i="7"/>
  <c r="C17" i="7"/>
  <c r="AL32" i="7"/>
  <c r="AL28" i="7"/>
  <c r="AL24" i="7"/>
  <c r="AL20" i="7"/>
  <c r="AL16" i="7"/>
  <c r="AL12" i="7"/>
  <c r="AL8" i="7"/>
  <c r="AP32" i="7"/>
  <c r="AP28" i="7"/>
  <c r="AP24" i="7"/>
  <c r="AP20" i="7"/>
  <c r="AP16" i="7"/>
  <c r="AP12" i="7"/>
  <c r="AP8" i="7"/>
  <c r="AT32" i="7"/>
  <c r="AT28" i="7"/>
  <c r="AT24" i="7"/>
  <c r="AT20" i="7"/>
  <c r="AT16" i="7"/>
  <c r="AT12" i="7"/>
  <c r="AT8" i="7"/>
  <c r="C28" i="7"/>
  <c r="AH27" i="7"/>
  <c r="AH23" i="7"/>
  <c r="AH19" i="7"/>
  <c r="AH15" i="7"/>
  <c r="AH11" i="7"/>
  <c r="AT31" i="7"/>
  <c r="AT27" i="7"/>
  <c r="AT23" i="7"/>
  <c r="AT19" i="7"/>
  <c r="AX31" i="7"/>
  <c r="AX27" i="7"/>
  <c r="AX23" i="7"/>
  <c r="AX19" i="7"/>
  <c r="AX15" i="7"/>
  <c r="AX11" i="7"/>
  <c r="BB32" i="7"/>
  <c r="BB28" i="7"/>
  <c r="BB24" i="7"/>
  <c r="C30" i="7"/>
  <c r="C23" i="7"/>
  <c r="AH33" i="7"/>
  <c r="AH29" i="7"/>
  <c r="AH25" i="7"/>
  <c r="AH21" i="7"/>
  <c r="AH17" i="7"/>
  <c r="AH13" i="7"/>
  <c r="AH9" i="7"/>
  <c r="AL33" i="7"/>
  <c r="AL29" i="7"/>
  <c r="AL25" i="7"/>
  <c r="AL21" i="7"/>
  <c r="AL17" i="7"/>
  <c r="AL13" i="7"/>
  <c r="AL9" i="7"/>
  <c r="AP33" i="7"/>
  <c r="AP29" i="7"/>
  <c r="AP25" i="7"/>
  <c r="AP21" i="7"/>
  <c r="AP17" i="7"/>
  <c r="AX33" i="7"/>
  <c r="AX29" i="7"/>
  <c r="AX25" i="7"/>
  <c r="AX21" i="7"/>
  <c r="BB30" i="7"/>
  <c r="BB26" i="7"/>
  <c r="BB20" i="7"/>
  <c r="BB12" i="7"/>
  <c r="BB8" i="7"/>
  <c r="C33" i="7"/>
  <c r="R31" i="7"/>
  <c r="R27" i="7"/>
  <c r="R23" i="7"/>
  <c r="R19" i="7"/>
  <c r="R15" i="7"/>
  <c r="R11" i="7"/>
  <c r="R7" i="7"/>
  <c r="V31" i="7"/>
  <c r="V27" i="7"/>
  <c r="V23" i="7"/>
  <c r="V19" i="7"/>
  <c r="V15" i="7"/>
  <c r="V11" i="7"/>
  <c r="Z31" i="7"/>
  <c r="Z27" i="7"/>
  <c r="Z23" i="7"/>
  <c r="Z19" i="7"/>
  <c r="Z15" i="7"/>
  <c r="Z11" i="7"/>
  <c r="AD31" i="7"/>
  <c r="AD27" i="7"/>
  <c r="AD23" i="7"/>
  <c r="AD19" i="7"/>
  <c r="AD15" i="7"/>
  <c r="AD11" i="7"/>
  <c r="AH30" i="7"/>
  <c r="AH26" i="7"/>
  <c r="AH22" i="7"/>
  <c r="AH18" i="7"/>
  <c r="AH14" i="7"/>
  <c r="AH10" i="7"/>
  <c r="AX18" i="7"/>
  <c r="C31" i="7"/>
  <c r="C27" i="7"/>
  <c r="C24" i="7"/>
  <c r="C20" i="7"/>
  <c r="C16" i="7"/>
  <c r="R30" i="7"/>
  <c r="R26" i="7"/>
  <c r="R22" i="7"/>
  <c r="R18" i="7"/>
  <c r="R14" i="7"/>
  <c r="R10" i="7"/>
  <c r="V30" i="7"/>
  <c r="V26" i="7"/>
  <c r="V22" i="7"/>
  <c r="V18" i="7"/>
  <c r="V14" i="7"/>
  <c r="V10" i="7"/>
  <c r="Z30" i="7"/>
  <c r="Z26" i="7"/>
  <c r="Z22" i="7"/>
  <c r="Z18" i="7"/>
  <c r="Z14" i="7"/>
  <c r="Z10" i="7"/>
  <c r="AD30" i="7"/>
  <c r="AD26" i="7"/>
  <c r="AD22" i="7"/>
  <c r="AD18" i="7"/>
  <c r="AD14" i="7"/>
  <c r="AD10" i="7"/>
  <c r="BB33" i="7"/>
  <c r="BB29" i="7"/>
  <c r="BB25" i="7"/>
  <c r="BB21" i="7"/>
  <c r="BB17" i="7"/>
  <c r="BB13" i="7"/>
  <c r="C18" i="7"/>
  <c r="C14" i="7"/>
  <c r="C11" i="7"/>
  <c r="C8" i="7"/>
  <c r="R32" i="7"/>
  <c r="R28" i="7"/>
  <c r="R24" i="7"/>
  <c r="R20" i="7"/>
  <c r="R16" i="7"/>
  <c r="R12" i="7"/>
  <c r="R8" i="7"/>
  <c r="V32" i="7"/>
  <c r="V28" i="7"/>
  <c r="V24" i="7"/>
  <c r="V20" i="7"/>
  <c r="V16" i="7"/>
  <c r="V12" i="7"/>
  <c r="V8" i="7"/>
  <c r="Z32" i="7"/>
  <c r="Z28" i="7"/>
  <c r="Z24" i="7"/>
  <c r="Z20" i="7"/>
  <c r="Z16" i="7"/>
  <c r="Z12" i="7"/>
  <c r="Z8" i="7"/>
  <c r="AD32" i="7"/>
  <c r="AD28" i="7"/>
  <c r="AD24" i="7"/>
  <c r="AD20" i="7"/>
  <c r="AD16" i="7"/>
  <c r="AD12" i="7"/>
  <c r="AD8" i="7"/>
  <c r="AH31" i="7"/>
  <c r="AL30" i="7"/>
  <c r="AL26" i="7"/>
  <c r="AL22" i="7"/>
  <c r="AL18" i="7"/>
  <c r="AL14" i="7"/>
  <c r="AL10" i="7"/>
  <c r="AP30" i="7"/>
  <c r="AP26" i="7"/>
  <c r="AP22" i="7"/>
  <c r="AP18" i="7"/>
  <c r="AP14" i="7"/>
  <c r="AP10" i="7"/>
  <c r="AT30" i="7"/>
  <c r="AT26" i="7"/>
  <c r="AT22" i="7"/>
  <c r="AT18" i="7"/>
  <c r="AT14" i="7"/>
  <c r="AT10" i="7"/>
  <c r="AX30" i="7"/>
  <c r="AX26" i="7"/>
  <c r="AX22" i="7"/>
  <c r="AX14" i="7"/>
  <c r="AX10" i="7"/>
  <c r="C13" i="7"/>
  <c r="C10" i="7"/>
  <c r="AD7" i="7"/>
  <c r="AT7" i="7"/>
  <c r="V7" i="7"/>
  <c r="BB16" i="7"/>
  <c r="C7" i="7"/>
  <c r="C26" i="7"/>
  <c r="C19" i="7"/>
  <c r="C12" i="7"/>
  <c r="Z7" i="7"/>
  <c r="C32" i="7"/>
  <c r="C22" i="7"/>
  <c r="R33" i="7"/>
  <c r="R29" i="7"/>
  <c r="R25" i="7"/>
  <c r="R21" i="7"/>
  <c r="R17" i="7"/>
  <c r="R13" i="7"/>
  <c r="R9" i="7"/>
  <c r="V33" i="7"/>
  <c r="V29" i="7"/>
  <c r="V25" i="7"/>
  <c r="V21" i="7"/>
  <c r="V17" i="7"/>
  <c r="V13" i="7"/>
  <c r="V9" i="7"/>
  <c r="Z33" i="7"/>
  <c r="Z29" i="7"/>
  <c r="Z25" i="7"/>
  <c r="Z21" i="7"/>
  <c r="Z17" i="7"/>
  <c r="Z13" i="7"/>
  <c r="Z9" i="7"/>
  <c r="AD33" i="7"/>
  <c r="AD29" i="7"/>
  <c r="AD25" i="7"/>
  <c r="AD21" i="7"/>
  <c r="AD17" i="7"/>
  <c r="AD13" i="7"/>
  <c r="AD9" i="7"/>
  <c r="AH32" i="7"/>
  <c r="AH28" i="7"/>
  <c r="AH24" i="7"/>
  <c r="AH20" i="7"/>
  <c r="AH16" i="7"/>
  <c r="AH12" i="7"/>
  <c r="AH8" i="7"/>
  <c r="AL31" i="7"/>
  <c r="AL27" i="7"/>
  <c r="AL23" i="7"/>
  <c r="AL19" i="7"/>
  <c r="AL15" i="7"/>
  <c r="AL11" i="7"/>
  <c r="AL7" i="7"/>
  <c r="AP31" i="7"/>
  <c r="AP27" i="7"/>
  <c r="AP23" i="7"/>
  <c r="AP19" i="7"/>
  <c r="AP15" i="7"/>
  <c r="AP11" i="7"/>
  <c r="AT33" i="7"/>
  <c r="AT29" i="7"/>
  <c r="AT25" i="7"/>
  <c r="AT21" i="7"/>
  <c r="AT17" i="7"/>
  <c r="AT13" i="7"/>
  <c r="AT9" i="7"/>
  <c r="AX32" i="7"/>
  <c r="AX28" i="7"/>
  <c r="AX24" i="7"/>
  <c r="AX20" i="7"/>
  <c r="AX16" i="7"/>
  <c r="AX12" i="7"/>
  <c r="AX8" i="7"/>
  <c r="BB31" i="7"/>
  <c r="BB27" i="7"/>
  <c r="BB23" i="7"/>
  <c r="BB19" i="7"/>
  <c r="BB15" i="7"/>
  <c r="BB11" i="7"/>
  <c r="BB7" i="7"/>
  <c r="C29" i="7"/>
  <c r="C15" i="7"/>
  <c r="C9" i="7"/>
  <c r="AH7" i="7"/>
  <c r="AP13" i="7"/>
  <c r="AP9" i="7"/>
  <c r="AT15" i="7"/>
  <c r="AT11" i="7"/>
  <c r="AX17" i="7"/>
  <c r="AX13" i="7"/>
  <c r="AX9" i="7"/>
  <c r="AP7" i="7"/>
  <c r="AX7" i="7"/>
  <c r="I6" i="5"/>
  <c r="I10" i="5"/>
  <c r="I14" i="5"/>
  <c r="I15" i="5"/>
  <c r="I17" i="5"/>
  <c r="I9" i="5"/>
  <c r="I11" i="5"/>
  <c r="I13" i="5"/>
  <c r="I8" i="5"/>
  <c r="I12" i="5"/>
  <c r="I16" i="5"/>
  <c r="I7" i="5"/>
  <c r="D9" i="5"/>
  <c r="A20" i="5"/>
  <c r="D15" i="5"/>
  <c r="D11" i="5"/>
  <c r="D10" i="5"/>
  <c r="B19" i="3"/>
  <c r="C10" i="3" s="1"/>
  <c r="C14" i="5"/>
  <c r="D14" i="5" s="1"/>
  <c r="D8" i="5"/>
  <c r="D7" i="5"/>
  <c r="C17" i="5"/>
  <c r="D17" i="5" s="1"/>
  <c r="C13" i="5"/>
  <c r="D13" i="5" s="1"/>
  <c r="C16" i="5"/>
  <c r="D16" i="5" s="1"/>
  <c r="C12" i="5"/>
  <c r="D12" i="5" s="1"/>
  <c r="D3" i="4" a="1"/>
  <c r="D3" i="4" s="1"/>
  <c r="C3" i="4" a="1"/>
  <c r="C3" i="4" s="1"/>
  <c r="A4" i="4"/>
  <c r="F9" i="7" l="1"/>
  <c r="F12" i="7"/>
  <c r="F10" i="7"/>
  <c r="F14" i="7"/>
  <c r="F13" i="7"/>
  <c r="F8" i="7"/>
  <c r="F7" i="7"/>
  <c r="F11" i="7"/>
  <c r="F15" i="7"/>
  <c r="F6" i="7"/>
  <c r="E3" i="4"/>
  <c r="C17" i="3"/>
  <c r="C7" i="3"/>
  <c r="C8" i="3"/>
  <c r="C14" i="3"/>
  <c r="C9" i="3"/>
  <c r="C16" i="3"/>
  <c r="C18" i="3"/>
  <c r="C13" i="3"/>
  <c r="C15" i="3"/>
  <c r="C11" i="3"/>
  <c r="C12" i="3"/>
  <c r="D4" i="4" a="1"/>
  <c r="D4" i="4" s="1"/>
  <c r="C4" i="4" a="1"/>
  <c r="C4" i="4" s="1"/>
  <c r="A5" i="4"/>
  <c r="C19" i="3" l="1"/>
  <c r="E4" i="4"/>
  <c r="A6" i="4"/>
  <c r="D5" i="4" a="1"/>
  <c r="D5" i="4" s="1"/>
  <c r="C5" i="4" a="1"/>
  <c r="C5" i="4" s="1"/>
  <c r="E5" i="4" l="1"/>
  <c r="A7" i="4"/>
  <c r="D6" i="4" a="1"/>
  <c r="D6" i="4" s="1"/>
  <c r="C6" i="4" a="1"/>
  <c r="C6" i="4" s="1"/>
  <c r="E6" i="4" l="1"/>
  <c r="A8" i="4"/>
  <c r="D7" i="4" a="1"/>
  <c r="D7" i="4" s="1"/>
  <c r="C7" i="4" a="1"/>
  <c r="C7" i="4" s="1"/>
  <c r="E7" i="4" l="1"/>
  <c r="A9" i="4"/>
  <c r="D8" i="4" a="1"/>
  <c r="D8" i="4" s="1"/>
  <c r="C8" i="4" a="1"/>
  <c r="C8" i="4" s="1"/>
  <c r="E8" i="4" l="1"/>
  <c r="A10" i="4"/>
  <c r="D9" i="4" a="1"/>
  <c r="D9" i="4" s="1"/>
  <c r="C9" i="4" a="1"/>
  <c r="C9" i="4" s="1"/>
  <c r="E9" i="4" l="1"/>
  <c r="A11" i="4"/>
  <c r="D10" i="4" a="1"/>
  <c r="D10" i="4" s="1"/>
  <c r="C10" i="4" a="1"/>
  <c r="C10" i="4" s="1"/>
  <c r="E10" i="4" l="1"/>
  <c r="A12" i="4"/>
  <c r="D11" i="4" a="1"/>
  <c r="D11" i="4" s="1"/>
  <c r="C11" i="4" a="1"/>
  <c r="C11" i="4" s="1"/>
  <c r="E11" i="4" l="1"/>
  <c r="A13" i="4"/>
  <c r="D12" i="4" a="1"/>
  <c r="D12" i="4" s="1"/>
  <c r="C12" i="4" a="1"/>
  <c r="C12" i="4" s="1"/>
  <c r="E12" i="4" l="1"/>
  <c r="A14" i="4"/>
  <c r="D13" i="4" a="1"/>
  <c r="D13" i="4" s="1"/>
  <c r="C13" i="4" a="1"/>
  <c r="C13" i="4" s="1"/>
  <c r="E13" i="4" l="1"/>
  <c r="A15" i="4"/>
  <c r="D14" i="4" a="1"/>
  <c r="D14" i="4" s="1"/>
  <c r="C14" i="4" a="1"/>
  <c r="C14" i="4" s="1"/>
  <c r="E14" i="4" l="1"/>
  <c r="A16" i="4"/>
  <c r="D15" i="4" a="1"/>
  <c r="D15" i="4" s="1"/>
  <c r="C15" i="4" a="1"/>
  <c r="C15" i="4" s="1"/>
  <c r="E15" i="4" l="1"/>
  <c r="A17" i="4"/>
  <c r="C16" i="4" a="1"/>
  <c r="C16" i="4" s="1"/>
  <c r="D16" i="4" a="1"/>
  <c r="D16" i="4" s="1"/>
  <c r="E16" i="4" l="1"/>
  <c r="A18" i="4"/>
  <c r="D17" i="4" a="1"/>
  <c r="D17" i="4" s="1"/>
  <c r="C17" i="4" a="1"/>
  <c r="C17" i="4" s="1"/>
  <c r="E17" i="4" l="1"/>
  <c r="A19" i="4"/>
  <c r="D18" i="4" a="1"/>
  <c r="D18" i="4" s="1"/>
  <c r="C18" i="4" a="1"/>
  <c r="C18" i="4" s="1"/>
  <c r="E18" i="4" l="1"/>
  <c r="A20" i="4"/>
  <c r="D19" i="4" a="1"/>
  <c r="D19" i="4" s="1"/>
  <c r="C19" i="4" a="1"/>
  <c r="C19" i="4" s="1"/>
  <c r="E19" i="4" l="1"/>
  <c r="A21" i="4"/>
  <c r="D20" i="4" a="1"/>
  <c r="D20" i="4" s="1"/>
  <c r="C20" i="4" a="1"/>
  <c r="C20" i="4" s="1"/>
  <c r="E20" i="4" l="1"/>
  <c r="A22" i="4"/>
  <c r="D21" i="4" a="1"/>
  <c r="D21" i="4" s="1"/>
  <c r="C21" i="4" a="1"/>
  <c r="C21" i="4" s="1"/>
  <c r="E21" i="4" l="1"/>
  <c r="A23" i="4"/>
  <c r="D22" i="4" a="1"/>
  <c r="D22" i="4" s="1"/>
  <c r="C22" i="4" a="1"/>
  <c r="C22" i="4" s="1"/>
  <c r="E22" i="4" l="1"/>
  <c r="A24" i="4"/>
  <c r="D23" i="4" a="1"/>
  <c r="D23" i="4" s="1"/>
  <c r="C23" i="4" a="1"/>
  <c r="C23" i="4" s="1"/>
  <c r="E23" i="4" l="1"/>
  <c r="A25" i="4"/>
  <c r="D24" i="4" a="1"/>
  <c r="D24" i="4" s="1"/>
  <c r="C24" i="4" a="1"/>
  <c r="C24" i="4" s="1"/>
  <c r="E24" i="4" l="1"/>
  <c r="D25" i="4" a="1"/>
  <c r="D25" i="4" s="1"/>
  <c r="C25" i="4" a="1"/>
  <c r="C25" i="4" s="1"/>
  <c r="A26" i="4"/>
  <c r="E25" i="4" l="1"/>
  <c r="D26" i="4" a="1"/>
  <c r="D26" i="4" s="1"/>
  <c r="C26" i="4" a="1"/>
  <c r="C26" i="4" s="1"/>
  <c r="A27" i="4"/>
  <c r="E26" i="4" l="1"/>
  <c r="D27" i="4" a="1"/>
  <c r="D27" i="4" s="1"/>
  <c r="C27" i="4" a="1"/>
  <c r="C27" i="4" s="1"/>
  <c r="A28" i="4"/>
  <c r="E27" i="4" l="1"/>
  <c r="D28" i="4" a="1"/>
  <c r="D28" i="4" s="1"/>
  <c r="C28" i="4" a="1"/>
  <c r="C28" i="4" s="1"/>
  <c r="A29" i="4"/>
  <c r="E28" i="4" l="1"/>
  <c r="A30" i="4"/>
  <c r="D29" i="4" a="1"/>
  <c r="D29" i="4" s="1"/>
  <c r="C29" i="4" a="1"/>
  <c r="C29" i="4" s="1"/>
  <c r="E29" i="4" l="1"/>
  <c r="A31" i="4"/>
  <c r="C30" i="4" a="1"/>
  <c r="C30" i="4" s="1"/>
  <c r="D30" i="4" a="1"/>
  <c r="D30" i="4" s="1"/>
  <c r="E30" i="4" l="1"/>
  <c r="A32" i="4"/>
  <c r="D31" i="4" a="1"/>
  <c r="D31" i="4" s="1"/>
  <c r="C31" i="4" a="1"/>
  <c r="C31" i="4" s="1"/>
  <c r="E31" i="4" l="1"/>
  <c r="A33" i="4"/>
  <c r="D32" i="4" a="1"/>
  <c r="D32" i="4" s="1"/>
  <c r="C32" i="4" a="1"/>
  <c r="C32" i="4" s="1"/>
  <c r="E32" i="4" l="1"/>
  <c r="A34" i="4"/>
  <c r="D33" i="4" a="1"/>
  <c r="D33" i="4" s="1"/>
  <c r="C33" i="4" a="1"/>
  <c r="C33" i="4" s="1"/>
  <c r="E33" i="4" l="1"/>
  <c r="A35" i="4"/>
  <c r="D34" i="4" a="1"/>
  <c r="D34" i="4" s="1"/>
  <c r="C34" i="4" a="1"/>
  <c r="C34" i="4" s="1"/>
  <c r="E34" i="4" l="1"/>
  <c r="A36" i="4"/>
  <c r="D35" i="4" a="1"/>
  <c r="D35" i="4" s="1"/>
  <c r="C35" i="4" a="1"/>
  <c r="C35" i="4" s="1"/>
  <c r="E35" i="4" l="1"/>
  <c r="A37" i="4"/>
  <c r="D36" i="4" a="1"/>
  <c r="D36" i="4" s="1"/>
  <c r="C36" i="4" a="1"/>
  <c r="C36" i="4" s="1"/>
  <c r="E36" i="4" l="1"/>
  <c r="A38" i="4"/>
  <c r="D37" i="4" a="1"/>
  <c r="D37" i="4" s="1"/>
  <c r="C37" i="4" a="1"/>
  <c r="C37" i="4" s="1"/>
  <c r="E37" i="4" l="1"/>
  <c r="A39" i="4"/>
  <c r="D38" i="4" a="1"/>
  <c r="D38" i="4" s="1"/>
  <c r="C38" i="4" a="1"/>
  <c r="C38" i="4" s="1"/>
  <c r="E38" i="4" l="1"/>
  <c r="A40" i="4"/>
  <c r="D39" i="4" a="1"/>
  <c r="D39" i="4" s="1"/>
  <c r="C39" i="4" a="1"/>
  <c r="C39" i="4" s="1"/>
  <c r="E39" i="4" l="1"/>
  <c r="A41" i="4"/>
  <c r="D40" i="4" a="1"/>
  <c r="D40" i="4" s="1"/>
  <c r="C40" i="4" a="1"/>
  <c r="C40" i="4" s="1"/>
  <c r="E40" i="4" l="1"/>
  <c r="A42" i="4"/>
  <c r="D41" i="4" a="1"/>
  <c r="D41" i="4" s="1"/>
  <c r="C41" i="4" a="1"/>
  <c r="C41" i="4" s="1"/>
  <c r="E41" i="4" l="1"/>
  <c r="A43" i="4"/>
  <c r="D42" i="4" a="1"/>
  <c r="D42" i="4" s="1"/>
  <c r="C42" i="4" a="1"/>
  <c r="C42" i="4" s="1"/>
  <c r="E42" i="4" l="1"/>
  <c r="A44" i="4"/>
  <c r="D43" i="4" a="1"/>
  <c r="D43" i="4" s="1"/>
  <c r="C43" i="4" a="1"/>
  <c r="C43" i="4" s="1"/>
  <c r="E43" i="4" l="1"/>
  <c r="A45" i="4"/>
  <c r="D44" i="4" a="1"/>
  <c r="D44" i="4" s="1"/>
  <c r="C44" i="4" a="1"/>
  <c r="C44" i="4" s="1"/>
  <c r="E44" i="4" l="1"/>
  <c r="A46" i="4"/>
  <c r="C45" i="4" a="1"/>
  <c r="C45" i="4" s="1"/>
  <c r="D45" i="4" a="1"/>
  <c r="D45" i="4" s="1"/>
  <c r="E45" i="4" l="1"/>
  <c r="A47" i="4"/>
  <c r="D46" i="4" a="1"/>
  <c r="D46" i="4" s="1"/>
  <c r="C46" i="4" a="1"/>
  <c r="C46" i="4" s="1"/>
  <c r="E46" i="4" l="1"/>
  <c r="A48" i="4"/>
  <c r="D47" i="4" a="1"/>
  <c r="D47" i="4" s="1"/>
  <c r="C47" i="4" a="1"/>
  <c r="C47" i="4" s="1"/>
  <c r="E47" i="4" l="1"/>
  <c r="A49" i="4"/>
  <c r="D48" i="4" a="1"/>
  <c r="D48" i="4" s="1"/>
  <c r="C48" i="4" a="1"/>
  <c r="C48" i="4" s="1"/>
  <c r="E48" i="4" l="1"/>
  <c r="A50" i="4"/>
  <c r="D49" i="4" a="1"/>
  <c r="D49" i="4" s="1"/>
  <c r="C49" i="4" a="1"/>
  <c r="C49" i="4" s="1"/>
  <c r="E49" i="4" l="1"/>
  <c r="A51" i="4"/>
  <c r="D50" i="4" a="1"/>
  <c r="D50" i="4" s="1"/>
  <c r="C50" i="4" a="1"/>
  <c r="C50" i="4" s="1"/>
  <c r="E50" i="4" l="1"/>
  <c r="A52" i="4"/>
  <c r="D51" i="4" a="1"/>
  <c r="D51" i="4" s="1"/>
  <c r="C51" i="4" a="1"/>
  <c r="C51" i="4" s="1"/>
  <c r="E51" i="4" l="1"/>
  <c r="A53" i="4"/>
  <c r="D52" i="4" a="1"/>
  <c r="D52" i="4" s="1"/>
  <c r="C52" i="4" a="1"/>
  <c r="C52" i="4" s="1"/>
  <c r="E52" i="4" l="1"/>
  <c r="A54" i="4"/>
  <c r="D53" i="4" a="1"/>
  <c r="D53" i="4" s="1"/>
  <c r="C53" i="4" a="1"/>
  <c r="C53" i="4" s="1"/>
  <c r="E53" i="4" l="1"/>
  <c r="A55" i="4"/>
  <c r="D54" i="4" a="1"/>
  <c r="D54" i="4" s="1"/>
  <c r="C54" i="4" a="1"/>
  <c r="C54" i="4" s="1"/>
  <c r="E54" i="4" l="1"/>
  <c r="A56" i="4"/>
  <c r="D55" i="4" a="1"/>
  <c r="D55" i="4" s="1"/>
  <c r="C55" i="4" a="1"/>
  <c r="C55" i="4" s="1"/>
  <c r="E55" i="4" l="1"/>
  <c r="A57" i="4"/>
  <c r="D56" i="4" a="1"/>
  <c r="D56" i="4" s="1"/>
  <c r="C56" i="4" a="1"/>
  <c r="C56" i="4" s="1"/>
  <c r="E56" i="4" l="1"/>
  <c r="A58" i="4"/>
  <c r="D57" i="4" a="1"/>
  <c r="D57" i="4" s="1"/>
  <c r="C57" i="4" a="1"/>
  <c r="C57" i="4" s="1"/>
  <c r="E57" i="4" l="1"/>
  <c r="A59" i="4"/>
  <c r="D58" i="4" a="1"/>
  <c r="D58" i="4" s="1"/>
  <c r="C58" i="4" a="1"/>
  <c r="C58" i="4" s="1"/>
  <c r="E58" i="4" l="1"/>
  <c r="A60" i="4"/>
  <c r="C59" i="4" a="1"/>
  <c r="C59" i="4" s="1"/>
  <c r="D59" i="4" a="1"/>
  <c r="D59" i="4" s="1"/>
  <c r="E59" i="4" l="1"/>
  <c r="A61" i="4"/>
  <c r="D60" i="4" a="1"/>
  <c r="D60" i="4" s="1"/>
  <c r="C60" i="4" a="1"/>
  <c r="C60" i="4" s="1"/>
  <c r="E60" i="4" l="1"/>
  <c r="A62" i="4"/>
  <c r="D61" i="4" a="1"/>
  <c r="D61" i="4" s="1"/>
  <c r="C61" i="4" a="1"/>
  <c r="C61" i="4" s="1"/>
  <c r="E61" i="4" l="1"/>
  <c r="A63" i="4"/>
  <c r="D62" i="4" a="1"/>
  <c r="D62" i="4" s="1"/>
  <c r="C62" i="4" a="1"/>
  <c r="C62" i="4" s="1"/>
  <c r="E62" i="4" l="1"/>
  <c r="D63" i="4" a="1"/>
  <c r="D63" i="4" s="1"/>
  <c r="C63" i="4" a="1"/>
  <c r="C63" i="4" s="1"/>
  <c r="A64" i="4"/>
  <c r="E63" i="4" l="1"/>
  <c r="A65" i="4"/>
  <c r="D64" i="4" a="1"/>
  <c r="D64" i="4" s="1"/>
  <c r="C64" i="4" a="1"/>
  <c r="C64" i="4" s="1"/>
  <c r="E64" i="4" l="1"/>
  <c r="A66" i="4"/>
  <c r="D65" i="4" a="1"/>
  <c r="D65" i="4" s="1"/>
  <c r="C65" i="4" a="1"/>
  <c r="C65" i="4" s="1"/>
  <c r="E65" i="4" l="1"/>
  <c r="A67" i="4"/>
  <c r="D66" i="4" a="1"/>
  <c r="D66" i="4" s="1"/>
  <c r="C66" i="4" a="1"/>
  <c r="C66" i="4" s="1"/>
  <c r="E66" i="4" l="1"/>
  <c r="A68" i="4"/>
  <c r="D67" i="4" a="1"/>
  <c r="D67" i="4" s="1"/>
  <c r="C67" i="4" a="1"/>
  <c r="C67" i="4" s="1"/>
  <c r="E67" i="4" l="1"/>
  <c r="A69" i="4"/>
  <c r="D68" i="4" a="1"/>
  <c r="D68" i="4" s="1"/>
  <c r="C68" i="4" a="1"/>
  <c r="C68" i="4" s="1"/>
  <c r="E68" i="4" l="1"/>
  <c r="A70" i="4"/>
  <c r="D69" i="4" a="1"/>
  <c r="D69" i="4" s="1"/>
  <c r="C69" i="4" a="1"/>
  <c r="C69" i="4" s="1"/>
  <c r="E69" i="4" l="1"/>
  <c r="A71" i="4"/>
  <c r="D70" i="4" a="1"/>
  <c r="D70" i="4" s="1"/>
  <c r="C70" i="4" a="1"/>
  <c r="C70" i="4" s="1"/>
  <c r="E70" i="4" l="1"/>
  <c r="D71" i="4" a="1"/>
  <c r="D71" i="4" s="1"/>
  <c r="C71" i="4" a="1"/>
  <c r="C71" i="4" s="1"/>
  <c r="A72" i="4"/>
  <c r="E71" i="4" l="1"/>
  <c r="D72" i="4" a="1"/>
  <c r="D72" i="4" s="1"/>
  <c r="C72" i="4" a="1"/>
  <c r="C72" i="4" s="1"/>
  <c r="A73" i="4"/>
  <c r="E72" i="4" l="1"/>
  <c r="A74" i="4"/>
  <c r="C73" i="4" a="1"/>
  <c r="C73" i="4" s="1"/>
  <c r="D73" i="4" a="1"/>
  <c r="D73" i="4" s="1"/>
  <c r="E73" i="4" l="1"/>
  <c r="A75" i="4"/>
  <c r="D74" i="4" a="1"/>
  <c r="D74" i="4" s="1"/>
  <c r="C74" i="4" a="1"/>
  <c r="C74" i="4" s="1"/>
  <c r="E74" i="4" l="1"/>
  <c r="A76" i="4"/>
  <c r="D75" i="4" a="1"/>
  <c r="D75" i="4" s="1"/>
  <c r="C75" i="4" a="1"/>
  <c r="C75" i="4" s="1"/>
  <c r="E75" i="4" l="1"/>
  <c r="A77" i="4"/>
  <c r="D76" i="4" a="1"/>
  <c r="D76" i="4" s="1"/>
  <c r="C76" i="4" a="1"/>
  <c r="C76" i="4" s="1"/>
  <c r="E76" i="4" l="1"/>
  <c r="A78" i="4"/>
  <c r="D77" i="4" a="1"/>
  <c r="D77" i="4" s="1"/>
  <c r="C77" i="4" a="1"/>
  <c r="C77" i="4" s="1"/>
  <c r="E77" i="4" l="1"/>
  <c r="D78" i="4" a="1"/>
  <c r="D78" i="4" s="1"/>
  <c r="C78" i="4" a="1"/>
  <c r="C78" i="4" s="1"/>
  <c r="E78" i="4" l="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<sst xmlns="http://schemas.openxmlformats.org/spreadsheetml/2006/main" count="2158" uniqueCount="128">
  <si>
    <t>Sector</t>
  </si>
  <si>
    <t>Year</t>
  </si>
  <si>
    <t>Month</t>
  </si>
  <si>
    <t>Cereals and products</t>
  </si>
  <si>
    <t>Meat and fish</t>
  </si>
  <si>
    <t>Egg</t>
  </si>
  <si>
    <t>Milk and products</t>
  </si>
  <si>
    <t>Oils and fats</t>
  </si>
  <si>
    <t>Fruits</t>
  </si>
  <si>
    <t>Vegetables</t>
  </si>
  <si>
    <t>Pulses and products</t>
  </si>
  <si>
    <t>Sugar and Confectionery</t>
  </si>
  <si>
    <t>Spices</t>
  </si>
  <si>
    <t>Non-alcoholic beverages</t>
  </si>
  <si>
    <t>Prepared meals, snacks, sweets etc.</t>
  </si>
  <si>
    <t>Food and beverages</t>
  </si>
  <si>
    <t>Pan, tobacco and intoxicants</t>
  </si>
  <si>
    <t>Clothing</t>
  </si>
  <si>
    <t>Footwear</t>
  </si>
  <si>
    <t>Clothing and footwear</t>
  </si>
  <si>
    <t>Housing</t>
  </si>
  <si>
    <t>Fuel and light</t>
  </si>
  <si>
    <t>Household goods and services</t>
  </si>
  <si>
    <t>Health</t>
  </si>
  <si>
    <t>Transport and communication</t>
  </si>
  <si>
    <t>Recreation and amusement</t>
  </si>
  <si>
    <t>Education</t>
  </si>
  <si>
    <t>Personal care and effects</t>
  </si>
  <si>
    <t>Miscellaneous</t>
  </si>
  <si>
    <t>General index</t>
  </si>
  <si>
    <t>Rural</t>
  </si>
  <si>
    <t>January</t>
  </si>
  <si>
    <t>NA</t>
  </si>
  <si>
    <t>Urban</t>
  </si>
  <si>
    <t>Rural+Urban</t>
  </si>
  <si>
    <t>February</t>
  </si>
  <si>
    <t>March</t>
  </si>
  <si>
    <t>April</t>
  </si>
  <si>
    <t>May</t>
  </si>
  <si>
    <t>June</t>
  </si>
  <si>
    <t>July</t>
  </si>
  <si>
    <t>August</t>
  </si>
  <si>
    <t>September</t>
  </si>
  <si>
    <t>October</t>
  </si>
  <si>
    <t xml:space="preserve">November </t>
  </si>
  <si>
    <t>November</t>
  </si>
  <si>
    <t>December</t>
  </si>
  <si>
    <t>Marcrh</t>
  </si>
  <si>
    <t>-</t>
  </si>
  <si>
    <t>Date</t>
  </si>
  <si>
    <t>A</t>
  </si>
  <si>
    <t>B</t>
  </si>
  <si>
    <t>C</t>
  </si>
  <si>
    <t>Broad Category</t>
  </si>
  <si>
    <t>CPI Value</t>
  </si>
  <si>
    <t>Contribution %</t>
  </si>
  <si>
    <t>Food</t>
  </si>
  <si>
    <t>Pan, Tobacco &amp; Intoxicants</t>
  </si>
  <si>
    <t>Clothing &amp; Footwear</t>
  </si>
  <si>
    <t>Fuel &amp; Energy</t>
  </si>
  <si>
    <t>Household</t>
  </si>
  <si>
    <t>Healthcare</t>
  </si>
  <si>
    <t>Transport &amp; Communication</t>
  </si>
  <si>
    <t>Recreation</t>
  </si>
  <si>
    <t>Personal Care</t>
  </si>
  <si>
    <t>Total</t>
  </si>
  <si>
    <t>General CPI</t>
  </si>
  <si>
    <t>Previous Year CPI</t>
  </si>
  <si>
    <t>YoY Inflation %</t>
  </si>
  <si>
    <t>YoY Inflation Analysis</t>
  </si>
  <si>
    <t>Row Labels</t>
  </si>
  <si>
    <t>Grand Total</t>
  </si>
  <si>
    <t>Average of YoY Inflation %</t>
  </si>
  <si>
    <t>Food_CPI</t>
  </si>
  <si>
    <t>Previous Month Food CPI</t>
  </si>
  <si>
    <t>MOM Inflation %</t>
  </si>
  <si>
    <t xml:space="preserve">Absolute change: </t>
  </si>
  <si>
    <t>Food Category</t>
  </si>
  <si>
    <t>May-23 CPI</t>
  </si>
  <si>
    <t>Cereals &amp; products</t>
  </si>
  <si>
    <t>Meat &amp; fish</t>
  </si>
  <si>
    <t>Milk &amp; products</t>
  </si>
  <si>
    <t>Oils &amp; fats</t>
  </si>
  <si>
    <t>Pulses &amp; products</t>
  </si>
  <si>
    <t>Sugar &amp; confectionery</t>
  </si>
  <si>
    <t>May-22 CPI</t>
  </si>
  <si>
    <t>Period</t>
  </si>
  <si>
    <t>Pre-COVID</t>
  </si>
  <si>
    <t>Post-COVID</t>
  </si>
  <si>
    <t>Average of Food and beverages</t>
  </si>
  <si>
    <t>Average of Health</t>
  </si>
  <si>
    <t>Average of Household goods and services</t>
  </si>
  <si>
    <t>Average of Fuel and light</t>
  </si>
  <si>
    <t>Average of Transport and communication</t>
  </si>
  <si>
    <t>COVID Period</t>
  </si>
  <si>
    <t>Essential Services</t>
  </si>
  <si>
    <t>Fuel</t>
  </si>
  <si>
    <t>% Change</t>
  </si>
  <si>
    <t>COVID-19 Impact on CPI Inflation — Pre vs Post COVID-19
Rural + Urban | Mar-2019 to Feb-2021 | Food, Health &amp; Essential Services</t>
  </si>
  <si>
    <t>Pre-COVID vs Post-COVID CPI Comparison</t>
  </si>
  <si>
    <t>Transport &amp;Communication</t>
  </si>
  <si>
    <t>MoM Oil Price Change</t>
  </si>
  <si>
    <t xml:space="preserve">Date </t>
  </si>
  <si>
    <t>Food &amp; Beverages</t>
  </si>
  <si>
    <t>Cereals &amp; Products</t>
  </si>
  <si>
    <t>Meat &amp; Fish</t>
  </si>
  <si>
    <t>Fuel &amp; Light</t>
  </si>
  <si>
    <t>CPI Category</t>
  </si>
  <si>
    <t>Correlation with Oils &amp; Fats</t>
  </si>
  <si>
    <t>Milk &amp; Products</t>
  </si>
  <si>
    <t>Food &amp; Beverage CPI</t>
  </si>
  <si>
    <t>Food MoM%</t>
  </si>
  <si>
    <t>Cereals &amp; Products CPI</t>
  </si>
  <si>
    <t xml:space="preserve"> Cr &amp; P MoM %</t>
  </si>
  <si>
    <t>Meat &amp; Fish MoM %</t>
  </si>
  <si>
    <t>Egg MoM %</t>
  </si>
  <si>
    <t>mlk &amp; Prd Mom %</t>
  </si>
  <si>
    <t>Veg Mom%</t>
  </si>
  <si>
    <t>Fuel &amp; Light Mom %</t>
  </si>
  <si>
    <t>Health Mom%</t>
  </si>
  <si>
    <t>T&amp; C Mom %</t>
  </si>
  <si>
    <t>Education Mom %</t>
  </si>
  <si>
    <t>Oil &amp; Fats CPI</t>
  </si>
  <si>
    <t>Global Events &amp; Oil-Related Impact on CPI Inflation
Monthly Oils &amp; Fats CPI Changes vs CPI Category Inflation | 2021–2023 | Rural + Urban</t>
  </si>
  <si>
    <t>India CPI Inflation Analysis Dashboard</t>
  </si>
  <si>
    <t>Food Inflation Analysis in India — June 2022 to May 2023
Monthly Food CPI Trends, Month-on-Month Changes &amp; Category-wise Year-on-Year Inflation | Rural + Urban</t>
  </si>
  <si>
    <t>Year-on-Year CPI Inflation Trend in India — 2017 to 2023
Annual Average Inflation Trends, Peak Inflation Year &amp; Key Economic Drivers | Rural + Urban</t>
  </si>
  <si>
    <t>CPI Contribution Analysis by Broad Category — April 2023
Category-wise Share of CPI Index | Rural + Urban | Equal-Weight Assumption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</si>
</sst>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409]mmm\-yy;@"/>
  </numFmts>
  <fonts count="19"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b/>
      <sz val="12"/>
      <color theme="0"/>
      <name val="Calibri"/>
      <family val="2"/>
    </font>
  </fonts>
  <fills count="36">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3" tint="0.249977111117893"/>
        <bgColor indexed="64"/>
      </patternFill>
    </fill>
    <fill>
      <patternFill patternType="solid">
        <fgColor theme="3" tint="0.499984740745262"/>
        <bgColor indexed="64"/>
      </patternFill>
    </fill>
    <fill>
      <patternFill patternType="solid">
        <fgColor theme="4" tint="-0.249977111117893"/>
        <bgColor indexed="64"/>
      </patternFill>
    </fill>
  </fills>
  <borders count="43">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thin">
        <color indexed="64"/>
      </right>
      <top style="thin">
        <color indexed="64"/>
      </top>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thin">
        <color rgb="FFABABAB"/>
      </left>
      <right/>
      <top style="thin">
        <color rgb="FFABABAB"/>
      </top>
      <bottom/>
      <diagonal/>
    </border>
    <border>
      <left style="thin">
        <color indexed="65"/>
      </left>
      <right/>
      <top style="thin">
        <color rgb="FFABABAB"/>
      </top>
      <bottom/>
      <diagonal/>
    </border>
    <border>
      <left style="thin">
        <color indexed="65"/>
      </left>
      <right style="thin">
        <color rgb="FFABABAB"/>
      </right>
      <top style="thin">
        <color rgb="FFABABAB"/>
      </top>
      <bottom/>
      <diagonal/>
    </border>
    <border>
      <left style="thin">
        <color rgb="FFABABAB"/>
      </left>
      <right/>
      <top style="thin">
        <color indexed="65"/>
      </top>
      <bottom/>
      <diagonal/>
    </border>
    <border>
      <left style="thin">
        <color indexed="65"/>
      </left>
      <right/>
      <top style="thin">
        <color indexed="65"/>
      </top>
      <bottom/>
      <diagonal/>
    </border>
    <border>
      <left style="thin">
        <color indexed="65"/>
      </left>
      <right style="thin">
        <color rgb="FFABABAB"/>
      </right>
      <top style="thin">
        <color indexed="65"/>
      </top>
      <bottom/>
      <diagonal/>
    </border>
    <border>
      <left style="thin">
        <color rgb="FFABABAB"/>
      </left>
      <right/>
      <top style="thin">
        <color indexed="65"/>
      </top>
      <bottom style="thin">
        <color rgb="FFABABAB"/>
      </bottom>
      <diagonal/>
    </border>
    <border>
      <left style="thin">
        <color indexed="65"/>
      </left>
      <right/>
      <top style="thin">
        <color indexed="65"/>
      </top>
      <bottom style="thin">
        <color rgb="FFABABAB"/>
      </bottom>
      <diagonal/>
    </border>
    <border>
      <left style="thin">
        <color indexed="65"/>
      </left>
      <right style="thin">
        <color rgb="FFABABAB"/>
      </right>
      <top style="thin">
        <color indexed="65"/>
      </top>
      <bottom style="thin">
        <color rgb="FFABABAB"/>
      </bottom>
      <diagonal/>
    </border>
    <border>
      <left style="medium">
        <color indexed="64"/>
      </left>
      <right style="medium">
        <color indexed="64"/>
      </right>
      <top/>
      <bottom style="medium">
        <color indexed="64"/>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92">
    <xf numFmtId="0" fontId="0" fillId="0" borderId="0" xfId="0"/>
    <xf numFmtId="14" fontId="0" fillId="0" borderId="0" xfId="0" applyNumberFormat="1"/>
    <xf numFmtId="164" fontId="0" fillId="0" borderId="0" xfId="0" applyNumberFormat="1"/>
    <xf numFmtId="0" fontId="0" fillId="0" borderId="0" xfId="0" applyAlignment="1">
      <alignment wrapText="1"/>
    </xf>
    <xf numFmtId="0" fontId="16" fillId="0" borderId="0" xfId="0" applyFont="1" applyAlignment="1">
      <alignment horizontal="center" vertical="center" wrapText="1"/>
    </xf>
    <xf numFmtId="0" fontId="0" fillId="0" borderId="0" xfId="0" applyAlignment="1">
      <alignment vertical="center" wrapText="1"/>
    </xf>
    <xf numFmtId="0" fontId="0" fillId="0" borderId="14" xfId="0" applyBorder="1" applyAlignment="1">
      <alignment vertical="center" wrapText="1"/>
    </xf>
    <xf numFmtId="10" fontId="0" fillId="0" borderId="14" xfId="0" applyNumberFormat="1" applyBorder="1" applyAlignment="1">
      <alignment vertical="center" wrapText="1"/>
    </xf>
    <xf numFmtId="0" fontId="0" fillId="0" borderId="15" xfId="0" applyBorder="1" applyAlignment="1">
      <alignment vertical="center" wrapText="1"/>
    </xf>
    <xf numFmtId="10" fontId="0" fillId="0" borderId="15" xfId="0" applyNumberFormat="1" applyBorder="1" applyAlignment="1">
      <alignment vertical="center" wrapText="1"/>
    </xf>
    <xf numFmtId="0" fontId="16" fillId="0" borderId="16" xfId="0" applyFont="1" applyBorder="1" applyAlignment="1">
      <alignment horizontal="center" vertical="center" wrapText="1"/>
    </xf>
    <xf numFmtId="0" fontId="16" fillId="0" borderId="17" xfId="0" applyFont="1" applyBorder="1" applyAlignment="1">
      <alignment horizontal="center" vertical="center" wrapText="1"/>
    </xf>
    <xf numFmtId="0" fontId="16" fillId="0" borderId="18" xfId="0" applyFont="1" applyBorder="1" applyAlignment="1">
      <alignment horizontal="center" vertical="center" wrapText="1"/>
    </xf>
    <xf numFmtId="0" fontId="16" fillId="0" borderId="19" xfId="0" applyFont="1" applyBorder="1" applyAlignment="1">
      <alignment vertical="center" wrapText="1"/>
    </xf>
    <xf numFmtId="0" fontId="16" fillId="0" borderId="20" xfId="0" applyFont="1" applyBorder="1" applyAlignment="1">
      <alignment vertical="center" wrapText="1"/>
    </xf>
    <xf numFmtId="0" fontId="16" fillId="0" borderId="21" xfId="0" applyFont="1" applyBorder="1" applyAlignment="1">
      <alignment vertical="center" wrapText="1"/>
    </xf>
    <xf numFmtId="0" fontId="0" fillId="0" borderId="22" xfId="0" applyBorder="1" applyAlignment="1">
      <alignment vertical="center" wrapText="1"/>
    </xf>
    <xf numFmtId="10" fontId="0" fillId="0" borderId="22" xfId="0" applyNumberFormat="1" applyBorder="1" applyAlignment="1">
      <alignment vertical="center" wrapText="1"/>
    </xf>
    <xf numFmtId="0" fontId="16" fillId="0" borderId="23" xfId="0" applyFont="1" applyBorder="1" applyAlignment="1">
      <alignment vertical="center" wrapText="1"/>
    </xf>
    <xf numFmtId="0" fontId="0" fillId="0" borderId="24" xfId="0" applyBorder="1" applyAlignment="1">
      <alignment vertical="center" wrapText="1"/>
    </xf>
    <xf numFmtId="9" fontId="0" fillId="0" borderId="25" xfId="0" applyNumberFormat="1" applyBorder="1" applyAlignment="1">
      <alignment vertical="center" wrapText="1"/>
    </xf>
    <xf numFmtId="2" fontId="0" fillId="0" borderId="0" xfId="0" applyNumberFormat="1"/>
    <xf numFmtId="164" fontId="0" fillId="0" borderId="14" xfId="0" applyNumberFormat="1" applyBorder="1"/>
    <xf numFmtId="0" fontId="0" fillId="0" borderId="14" xfId="0" applyNumberFormat="1" applyBorder="1"/>
    <xf numFmtId="0" fontId="0" fillId="0" borderId="14" xfId="0" applyBorder="1"/>
    <xf numFmtId="2" fontId="0" fillId="0" borderId="14" xfId="0" applyNumberFormat="1" applyBorder="1"/>
    <xf numFmtId="164" fontId="0" fillId="0" borderId="15" xfId="0" applyNumberFormat="1" applyBorder="1"/>
    <xf numFmtId="0" fontId="0" fillId="0" borderId="15" xfId="0" applyNumberFormat="1" applyBorder="1"/>
    <xf numFmtId="0" fontId="0" fillId="0" borderId="15" xfId="0" applyBorder="1"/>
    <xf numFmtId="2" fontId="0" fillId="0" borderId="15" xfId="0" applyNumberFormat="1" applyBorder="1"/>
    <xf numFmtId="0" fontId="16" fillId="0" borderId="23" xfId="0" applyFont="1" applyBorder="1"/>
    <xf numFmtId="0" fontId="16" fillId="0" borderId="24" xfId="0" applyFont="1" applyBorder="1"/>
    <xf numFmtId="0" fontId="16" fillId="0" borderId="25" xfId="0" applyFont="1" applyBorder="1"/>
    <xf numFmtId="0" fontId="0" fillId="0" borderId="29" xfId="0" applyBorder="1"/>
    <xf numFmtId="0" fontId="0" fillId="0" borderId="30" xfId="0" applyBorder="1"/>
    <xf numFmtId="0" fontId="0" fillId="0" borderId="31" xfId="0" applyBorder="1"/>
    <xf numFmtId="0" fontId="0" fillId="0" borderId="32" xfId="0" applyBorder="1"/>
    <xf numFmtId="0" fontId="0" fillId="0" borderId="33" xfId="0" applyBorder="1"/>
    <xf numFmtId="0" fontId="0" fillId="0" borderId="34" xfId="0" applyBorder="1"/>
    <xf numFmtId="0" fontId="0" fillId="0" borderId="35" xfId="0" applyBorder="1"/>
    <xf numFmtId="0" fontId="0" fillId="0" borderId="36" xfId="0" applyBorder="1"/>
    <xf numFmtId="0" fontId="0" fillId="0" borderId="37" xfId="0" applyBorder="1"/>
    <xf numFmtId="0" fontId="0" fillId="0" borderId="0" xfId="0" pivotButton="1"/>
    <xf numFmtId="0" fontId="0" fillId="0" borderId="0" xfId="0" applyAlignment="1">
      <alignment horizontal="left"/>
    </xf>
    <xf numFmtId="17" fontId="0" fillId="0" borderId="14" xfId="0" applyNumberFormat="1" applyBorder="1"/>
    <xf numFmtId="17" fontId="0" fillId="0" borderId="15" xfId="0" applyNumberFormat="1" applyBorder="1"/>
    <xf numFmtId="0" fontId="0" fillId="0" borderId="38" xfId="0" applyBorder="1" applyAlignment="1">
      <alignment horizontal="center"/>
    </xf>
    <xf numFmtId="0" fontId="0" fillId="0" borderId="0" xfId="0" applyAlignment="1">
      <alignment horizontal="right" vertical="center" wrapText="1"/>
    </xf>
    <xf numFmtId="0" fontId="16" fillId="0" borderId="0" xfId="0" applyFont="1" applyAlignment="1">
      <alignment horizontal="right" vertical="center" wrapText="1"/>
    </xf>
    <xf numFmtId="0" fontId="16" fillId="0" borderId="10" xfId="0" applyFont="1" applyBorder="1"/>
    <xf numFmtId="0" fontId="0" fillId="0" borderId="14" xfId="0" applyBorder="1" applyAlignment="1">
      <alignment horizontal="right" vertical="center" wrapText="1"/>
    </xf>
    <xf numFmtId="0" fontId="16" fillId="0" borderId="23" xfId="0" applyFont="1" applyBorder="1" applyAlignment="1">
      <alignment vertical="center"/>
    </xf>
    <xf numFmtId="0" fontId="16" fillId="0" borderId="24" xfId="0" applyFont="1" applyBorder="1" applyAlignment="1">
      <alignment vertical="center"/>
    </xf>
    <xf numFmtId="0" fontId="16" fillId="0" borderId="25" xfId="0" applyFont="1" applyBorder="1" applyAlignment="1">
      <alignment vertical="center"/>
    </xf>
    <xf numFmtId="0" fontId="0" fillId="0" borderId="15" xfId="0" applyBorder="1" applyAlignment="1">
      <alignment horizontal="right" vertical="center" wrapText="1"/>
    </xf>
    <xf numFmtId="0" fontId="16" fillId="0" borderId="23" xfId="0" applyFont="1" applyBorder="1" applyAlignment="1">
      <alignment horizontal="center" vertical="center" wrapText="1"/>
    </xf>
    <xf numFmtId="0" fontId="16" fillId="0" borderId="24" xfId="0" applyFont="1" applyBorder="1" applyAlignment="1">
      <alignment horizontal="center" vertical="center" wrapText="1"/>
    </xf>
    <xf numFmtId="0" fontId="16" fillId="0" borderId="25" xfId="0" applyFont="1" applyFill="1" applyBorder="1" applyAlignment="1">
      <alignment horizontal="center" vertical="center" wrapText="1"/>
    </xf>
    <xf numFmtId="0" fontId="16" fillId="0" borderId="25" xfId="0" applyFont="1" applyBorder="1" applyAlignment="1">
      <alignment horizontal="right" vertical="center" wrapText="1"/>
    </xf>
    <xf numFmtId="0" fontId="0" fillId="0" borderId="14" xfId="0" applyBorder="1" applyAlignment="1">
      <alignment horizontal="center" vertical="center" wrapText="1"/>
    </xf>
    <xf numFmtId="0" fontId="0" fillId="0" borderId="22" xfId="0" applyBorder="1" applyAlignment="1">
      <alignment horizontal="center" vertical="center" wrapText="1"/>
    </xf>
    <xf numFmtId="2" fontId="0" fillId="0" borderId="24" xfId="0" applyNumberFormat="1" applyBorder="1" applyAlignment="1">
      <alignment horizontal="center" vertical="center" wrapText="1"/>
    </xf>
    <xf numFmtId="2" fontId="0" fillId="0" borderId="25" xfId="0" applyNumberFormat="1" applyBorder="1" applyAlignment="1">
      <alignment horizontal="center" vertical="center" wrapText="1"/>
    </xf>
    <xf numFmtId="0" fontId="16" fillId="0" borderId="15" xfId="0" applyFont="1" applyBorder="1" applyAlignment="1">
      <alignment horizontal="center" vertical="center" wrapText="1"/>
    </xf>
    <xf numFmtId="0" fontId="0" fillId="0" borderId="0" xfId="0" applyAlignment="1">
      <alignment vertical="center"/>
    </xf>
    <xf numFmtId="164" fontId="0" fillId="0" borderId="0" xfId="0" applyNumberFormat="1" applyAlignment="1">
      <alignment horizontal="center" vertical="center"/>
    </xf>
    <xf numFmtId="2" fontId="0" fillId="0" borderId="14" xfId="0" applyNumberFormat="1" applyBorder="1" applyAlignment="1">
      <alignment horizontal="right" vertical="center" wrapText="1"/>
    </xf>
    <xf numFmtId="2" fontId="6" fillId="2" borderId="14" xfId="6" applyNumberFormat="1" applyBorder="1" applyAlignment="1">
      <alignment horizontal="right" vertical="center" wrapText="1"/>
    </xf>
    <xf numFmtId="2" fontId="0" fillId="0" borderId="15" xfId="0" applyNumberFormat="1" applyBorder="1" applyAlignment="1">
      <alignment horizontal="right" vertical="center" wrapText="1"/>
    </xf>
    <xf numFmtId="0" fontId="16" fillId="0" borderId="26" xfId="0" applyFont="1" applyBorder="1" applyAlignment="1">
      <alignment horizontal="center" vertical="center"/>
    </xf>
    <xf numFmtId="0" fontId="16" fillId="0" borderId="27" xfId="0" applyFont="1" applyBorder="1" applyAlignment="1">
      <alignment horizontal="center" vertical="center"/>
    </xf>
    <xf numFmtId="0" fontId="16" fillId="0" borderId="28" xfId="0" applyFont="1" applyBorder="1" applyAlignment="1">
      <alignment horizontal="center" vertical="center"/>
    </xf>
    <xf numFmtId="0" fontId="13" fillId="33" borderId="11" xfId="0" applyFont="1" applyFill="1" applyBorder="1" applyAlignment="1">
      <alignment horizontal="center" vertical="center" wrapText="1"/>
    </xf>
    <xf numFmtId="0" fontId="13" fillId="33" borderId="12" xfId="0" applyFont="1" applyFill="1" applyBorder="1" applyAlignment="1">
      <alignment horizontal="center" vertical="center"/>
    </xf>
    <xf numFmtId="0" fontId="13" fillId="33" borderId="13" xfId="0" applyFont="1" applyFill="1" applyBorder="1" applyAlignment="1">
      <alignment horizontal="center" vertical="center"/>
    </xf>
    <xf numFmtId="0" fontId="13" fillId="34" borderId="11" xfId="0" applyFont="1" applyFill="1" applyBorder="1" applyAlignment="1">
      <alignment horizontal="center"/>
    </xf>
    <xf numFmtId="0" fontId="13" fillId="34" borderId="12" xfId="0" applyFont="1" applyFill="1" applyBorder="1" applyAlignment="1">
      <alignment horizontal="center"/>
    </xf>
    <xf numFmtId="0" fontId="13" fillId="34" borderId="13" xfId="0" applyFont="1" applyFill="1" applyBorder="1" applyAlignment="1">
      <alignment horizontal="center"/>
    </xf>
    <xf numFmtId="0" fontId="18" fillId="33" borderId="42" xfId="0" applyFont="1" applyFill="1" applyBorder="1" applyAlignment="1">
      <alignment horizontal="center" vertical="center"/>
    </xf>
    <xf numFmtId="0" fontId="18" fillId="33" borderId="0" xfId="0" applyFont="1" applyFill="1" applyBorder="1" applyAlignment="1">
      <alignment horizontal="center" vertical="center"/>
    </xf>
    <xf numFmtId="0" fontId="13" fillId="35" borderId="26" xfId="0" applyFont="1" applyFill="1" applyBorder="1" applyAlignment="1">
      <alignment horizontal="center" vertical="center" wrapText="1"/>
    </xf>
    <xf numFmtId="0" fontId="13" fillId="35" borderId="27" xfId="0" applyFont="1" applyFill="1" applyBorder="1" applyAlignment="1">
      <alignment horizontal="center" vertical="center"/>
    </xf>
    <xf numFmtId="0" fontId="13" fillId="35" borderId="28" xfId="0" applyFont="1" applyFill="1" applyBorder="1" applyAlignment="1">
      <alignment horizontal="center" vertical="center"/>
    </xf>
    <xf numFmtId="0" fontId="13" fillId="35" borderId="39" xfId="0" applyFont="1" applyFill="1" applyBorder="1" applyAlignment="1">
      <alignment horizontal="center" vertical="center"/>
    </xf>
    <xf numFmtId="0" fontId="13" fillId="35" borderId="40" xfId="0" applyFont="1" applyFill="1" applyBorder="1" applyAlignment="1">
      <alignment horizontal="center" vertical="center"/>
    </xf>
    <xf numFmtId="0" fontId="13" fillId="35" borderId="41" xfId="0" applyFont="1" applyFill="1" applyBorder="1" applyAlignment="1">
      <alignment horizontal="center" vertical="center"/>
    </xf>
    <xf numFmtId="0" fontId="13" fillId="35" borderId="26" xfId="0" applyFont="1" applyFill="1" applyBorder="1" applyAlignment="1">
      <alignment horizontal="center" wrapText="1"/>
    </xf>
    <xf numFmtId="0" fontId="13" fillId="35" borderId="27" xfId="0" applyFont="1" applyFill="1" applyBorder="1" applyAlignment="1">
      <alignment horizontal="center"/>
    </xf>
    <xf numFmtId="0" fontId="13" fillId="35" borderId="28" xfId="0" applyFont="1" applyFill="1" applyBorder="1" applyAlignment="1">
      <alignment horizontal="center"/>
    </xf>
    <xf numFmtId="0" fontId="13" fillId="35" borderId="39" xfId="0" applyFont="1" applyFill="1" applyBorder="1" applyAlignment="1">
      <alignment horizontal="center"/>
    </xf>
    <xf numFmtId="0" fontId="13" fillId="35" borderId="40" xfId="0" applyFont="1" applyFill="1" applyBorder="1" applyAlignment="1">
      <alignment horizontal="center"/>
    </xf>
    <xf numFmtId="0" fontId="13" fillId="35" borderId="41" xfId="0" applyFont="1" applyFill="1" applyBorder="1" applyAlignment="1">
      <alignment horizont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3">
    <dxf>
      <alignment wrapText="1"/>
    </dxf>
    <dxf>
      <alignment wrapText="1"/>
    </dxf>
    <dxf>
      <alignment wrapText="1"/>
    </dxf>
    <dxf>
      <alignment wrapText="1"/>
    </dxf>
    <dxf>
      <alignment wrapText="1"/>
    </dxf>
    <dxf>
      <numFmt numFmtId="2" formatCode="0.00"/>
    </dxf>
    <dxf>
      <numFmt numFmtId="2" formatCode="0.00"/>
    </dxf>
    <dxf>
      <numFmt numFmtId="2" formatCode="0.00"/>
    </dxf>
    <dxf>
      <numFmt numFmtId="2" formatCode="0.00"/>
    </dxf>
    <dxf>
      <numFmt numFmtId="2" formatCode="0.00"/>
    </dxf>
    <dxf>
      <numFmt numFmtId="0" formatCode="General"/>
    </dxf>
    <dxf>
      <numFmt numFmtId="164" formatCode="[$-409]mmm\-yy;@"/>
    </dxf>
    <dxf>
      <numFmt numFmtId="19" formatCode="m/d/yyyy"/>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2.xml"/><Relationship Id="rId5" Type="http://schemas.openxmlformats.org/officeDocument/2006/relationships/worksheet" Target="worksheets/sheet5.xml"/><Relationship Id="rId15" Type="http://schemas.openxmlformats.org/officeDocument/2006/relationships/sheetMetadata" Target="metadata.xml"/><Relationship Id="rId10" Type="http://schemas.openxmlformats.org/officeDocument/2006/relationships/pivotCacheDefinition" Target="pivotCache/pivotCacheDefinition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CPI Contribution by Broad Category- April 2023</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Q1_Contribution!$A$7:$A$18</c:f>
              <c:strCache>
                <c:ptCount val="12"/>
                <c:pt idx="0">
                  <c:v>Food</c:v>
                </c:pt>
                <c:pt idx="1">
                  <c:v>Pan, Tobacco &amp; Intoxicants</c:v>
                </c:pt>
                <c:pt idx="2">
                  <c:v>Clothing &amp; Footwear</c:v>
                </c:pt>
                <c:pt idx="3">
                  <c:v>Housing</c:v>
                </c:pt>
                <c:pt idx="4">
                  <c:v>Fuel &amp; Energy</c:v>
                </c:pt>
                <c:pt idx="5">
                  <c:v>Household</c:v>
                </c:pt>
                <c:pt idx="6">
                  <c:v>Healthcare</c:v>
                </c:pt>
                <c:pt idx="7">
                  <c:v>Transport &amp; Communication</c:v>
                </c:pt>
                <c:pt idx="8">
                  <c:v>Recreation</c:v>
                </c:pt>
                <c:pt idx="9">
                  <c:v>Education</c:v>
                </c:pt>
                <c:pt idx="10">
                  <c:v>Personal Care</c:v>
                </c:pt>
                <c:pt idx="11">
                  <c:v>Miscellaneous</c:v>
                </c:pt>
              </c:strCache>
            </c:strRef>
          </c:cat>
          <c:val>
            <c:numRef>
              <c:f>Q1_Contribution!$C$7:$C$18</c:f>
              <c:numCache>
                <c:formatCode>0.00%</c:formatCode>
                <c:ptCount val="12"/>
                <c:pt idx="0">
                  <c:v>8.2694184911448892E-2</c:v>
                </c:pt>
                <c:pt idx="1">
                  <c:v>9.3245944312741122E-2</c:v>
                </c:pt>
                <c:pt idx="2">
                  <c:v>8.6319899595593344E-2</c:v>
                </c:pt>
                <c:pt idx="3">
                  <c:v>8.1439129828475787E-2</c:v>
                </c:pt>
                <c:pt idx="4">
                  <c:v>8.4460558731929522E-2</c:v>
                </c:pt>
                <c:pt idx="5">
                  <c:v>8.1160228698926223E-2</c:v>
                </c:pt>
                <c:pt idx="6">
                  <c:v>8.5994514944452191E-2</c:v>
                </c:pt>
                <c:pt idx="7">
                  <c:v>7.6465393018175051E-2</c:v>
                </c:pt>
                <c:pt idx="8">
                  <c:v>7.9347371356853977E-2</c:v>
                </c:pt>
                <c:pt idx="9">
                  <c:v>8.1996932087574956E-2</c:v>
                </c:pt>
                <c:pt idx="10">
                  <c:v>8.5529679728536229E-2</c:v>
                </c:pt>
                <c:pt idx="11">
                  <c:v>8.1346162785292608E-2</c:v>
                </c:pt>
              </c:numCache>
            </c:numRef>
          </c:val>
          <c:extLst>
            <c:ext xmlns:c16="http://schemas.microsoft.com/office/drawing/2014/chart" uri="{C3380CC4-5D6E-409C-BE32-E72D297353CC}">
              <c16:uniqueId val="{00000000-5581-49CC-BAC7-AA01F3642459}"/>
            </c:ext>
          </c:extLst>
        </c:ser>
        <c:dLbls>
          <c:dLblPos val="outEnd"/>
          <c:showLegendKey val="0"/>
          <c:showVal val="1"/>
          <c:showCatName val="0"/>
          <c:showSerName val="0"/>
          <c:showPercent val="0"/>
          <c:showBubbleSize val="0"/>
        </c:dLbls>
        <c:gapWidth val="219"/>
        <c:overlap val="-27"/>
        <c:axId val="375217336"/>
        <c:axId val="580988864"/>
      </c:barChart>
      <c:catAx>
        <c:axId val="3752173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80988864"/>
        <c:crosses val="autoZero"/>
        <c:auto val="1"/>
        <c:lblAlgn val="ctr"/>
        <c:lblOffset val="100"/>
        <c:noMultiLvlLbl val="0"/>
      </c:catAx>
      <c:valAx>
        <c:axId val="580988864"/>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7521733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[CPI Project(2).xlsx]PT YoY Trend!PivotTable3</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India CPI Yoy Inflation Trend- 2017 to 2023</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'PT YoY Trend'!$B$5</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'PT YoY Trend'!$A$6:$A$13</c:f>
              <c:strCache>
                <c:ptCount val="7"/>
                <c:pt idx="0">
                  <c:v>2017</c:v>
                </c:pt>
                <c:pt idx="1">
                  <c:v>2018</c:v>
                </c:pt>
                <c:pt idx="2">
                  <c:v>2019</c:v>
                </c:pt>
                <c:pt idx="3">
                  <c:v>2020</c:v>
                </c:pt>
                <c:pt idx="4">
                  <c:v>2021</c:v>
                </c:pt>
                <c:pt idx="5">
                  <c:v>2022</c:v>
                </c:pt>
                <c:pt idx="6">
                  <c:v>2023</c:v>
                </c:pt>
              </c:strCache>
            </c:strRef>
          </c:cat>
          <c:val>
            <c:numRef>
              <c:f>'PT YoY Trend'!$B$6:$B$13</c:f>
              <c:numCache>
                <c:formatCode>0.00</c:formatCode>
                <c:ptCount val="7"/>
                <c:pt idx="0">
                  <c:v>3.3273885375365366</c:v>
                </c:pt>
                <c:pt idx="1">
                  <c:v>3.9676971910429089</c:v>
                </c:pt>
                <c:pt idx="2">
                  <c:v>3.7704798059274536</c:v>
                </c:pt>
                <c:pt idx="3">
                  <c:v>6.2246958890580313</c:v>
                </c:pt>
                <c:pt idx="4">
                  <c:v>5.5772152293999806</c:v>
                </c:pt>
                <c:pt idx="5">
                  <c:v>6.6240649804989218</c:v>
                </c:pt>
                <c:pt idx="6">
                  <c:v>5.892129520821813</c:v>
                </c:pt>
              </c:numCache>
            </c:numRef>
          </c:val>
          <c:smooth val="0"/>
          <c:extLst>
            <c:ext xmlns:c16="http://schemas.microsoft.com/office/drawing/2014/chart" uri="{C3380CC4-5D6E-409C-BE32-E72D297353CC}">
              <c16:uniqueId val="{00000000-43B9-4430-A4DB-BEB2D3F9A29C}"/>
            </c:ext>
          </c:extLst>
        </c:ser>
        <c:dLbls>
          <c:dLblPos val="t"/>
          <c:showLegendKey val="0"/>
          <c:showVal val="1"/>
          <c:showCatName val="0"/>
          <c:showSerName val="0"/>
          <c:showPercent val="0"/>
          <c:showBubbleSize val="0"/>
        </c:dLbls>
        <c:marker val="1"/>
        <c:smooth val="0"/>
        <c:axId val="587381952"/>
        <c:axId val="587384112"/>
      </c:lineChart>
      <c:catAx>
        <c:axId val="5873819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87384112"/>
        <c:crosses val="autoZero"/>
        <c:auto val="1"/>
        <c:lblAlgn val="ctr"/>
        <c:lblOffset val="100"/>
        <c:noMultiLvlLbl val="0"/>
      </c:catAx>
      <c:valAx>
        <c:axId val="587384112"/>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8738195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Food CPI Trend:June 22- May 23</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Q3_Food_Inflation!$B$5</c:f>
              <c:strCache>
                <c:ptCount val="1"/>
                <c:pt idx="0">
                  <c:v>Food_CPI</c:v>
                </c:pt>
              </c:strCache>
            </c:strRef>
          </c:tx>
          <c:spPr>
            <a:ln w="34925" cap="rnd">
              <a:solidFill>
                <a:schemeClr val="accent1"/>
              </a:solidFill>
              <a:round/>
            </a:ln>
            <a:effectLst>
              <a:outerShdw blurRad="57150" dist="19050" dir="5400000" algn="ctr" rotWithShape="0">
                <a:srgbClr val="000000">
                  <a:alpha val="63000"/>
                </a:srgbClr>
              </a:outerShdw>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Q3_Food_Inflation!$A$6:$A$17</c:f>
              <c:numCache>
                <c:formatCode>mmm\-yy</c:formatCode>
                <c:ptCount val="12"/>
                <c:pt idx="0">
                  <c:v>44734</c:v>
                </c:pt>
                <c:pt idx="1">
                  <c:v>44764</c:v>
                </c:pt>
                <c:pt idx="2">
                  <c:v>44795</c:v>
                </c:pt>
                <c:pt idx="3">
                  <c:v>44826</c:v>
                </c:pt>
                <c:pt idx="4">
                  <c:v>44856</c:v>
                </c:pt>
                <c:pt idx="5">
                  <c:v>44887</c:v>
                </c:pt>
                <c:pt idx="6">
                  <c:v>44917</c:v>
                </c:pt>
                <c:pt idx="7">
                  <c:v>44948</c:v>
                </c:pt>
                <c:pt idx="8">
                  <c:v>44979</c:v>
                </c:pt>
                <c:pt idx="9">
                  <c:v>45007</c:v>
                </c:pt>
                <c:pt idx="10">
                  <c:v>45038</c:v>
                </c:pt>
                <c:pt idx="11">
                  <c:v>45068</c:v>
                </c:pt>
              </c:numCache>
            </c:numRef>
          </c:cat>
          <c:val>
            <c:numRef>
              <c:f>Q3_Food_Inflation!$B$6:$B$17</c:f>
              <c:numCache>
                <c:formatCode>General</c:formatCode>
                <c:ptCount val="12"/>
                <c:pt idx="0">
                  <c:v>174.9</c:v>
                </c:pt>
                <c:pt idx="1">
                  <c:v>175</c:v>
                </c:pt>
                <c:pt idx="2">
                  <c:v>176.3</c:v>
                </c:pt>
                <c:pt idx="3">
                  <c:v>177.8</c:v>
                </c:pt>
                <c:pt idx="4">
                  <c:v>179.6</c:v>
                </c:pt>
                <c:pt idx="5">
                  <c:v>178.3</c:v>
                </c:pt>
                <c:pt idx="6">
                  <c:v>175.9</c:v>
                </c:pt>
                <c:pt idx="7">
                  <c:v>176.7</c:v>
                </c:pt>
                <c:pt idx="8">
                  <c:v>177</c:v>
                </c:pt>
                <c:pt idx="9">
                  <c:v>177</c:v>
                </c:pt>
                <c:pt idx="10">
                  <c:v>177.9</c:v>
                </c:pt>
                <c:pt idx="11">
                  <c:v>179.1</c:v>
                </c:pt>
              </c:numCache>
            </c:numRef>
          </c:val>
          <c:smooth val="0"/>
          <c:extLst>
            <c:ext xmlns:c16="http://schemas.microsoft.com/office/drawing/2014/chart" uri="{C3380CC4-5D6E-409C-BE32-E72D297353CC}">
              <c16:uniqueId val="{00000000-0DF9-4DA7-ABA1-E78D45CC97B1}"/>
            </c:ext>
          </c:extLst>
        </c:ser>
        <c:dLbls>
          <c:dLblPos val="t"/>
          <c:showLegendKey val="0"/>
          <c:showVal val="1"/>
          <c:showCatName val="0"/>
          <c:showSerName val="0"/>
          <c:showPercent val="0"/>
          <c:showBubbleSize val="0"/>
        </c:dLbls>
        <c:smooth val="0"/>
        <c:axId val="646126368"/>
        <c:axId val="646125288"/>
      </c:lineChart>
      <c:dateAx>
        <c:axId val="646126368"/>
        <c:scaling>
          <c:orientation val="minMax"/>
        </c:scaling>
        <c:delete val="0"/>
        <c:axPos val="b"/>
        <c:title>
          <c:tx>
            <c:rich>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r>
                  <a:rPr lang="en-US"/>
                  <a:t>Month</a:t>
                </a:r>
              </a:p>
            </c:rich>
          </c:tx>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itle>
        <c:numFmt formatCode="mmm\-yy" sourceLinked="1"/>
        <c:majorTickMark val="out"/>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46125288"/>
        <c:crosses val="autoZero"/>
        <c:auto val="1"/>
        <c:lblOffset val="100"/>
        <c:baseTimeUnit val="months"/>
      </c:dateAx>
      <c:valAx>
        <c:axId val="646125288"/>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r>
                  <a:rPr lang="en-US"/>
                  <a:t>Food</a:t>
                </a:r>
                <a:r>
                  <a:rPr lang="en-US" baseline="0"/>
                  <a:t> CPI Index</a:t>
                </a:r>
              </a:p>
            </c:rich>
          </c:tx>
          <c:overlay val="0"/>
          <c:spPr>
            <a:noFill/>
            <a:ln>
              <a:noFill/>
            </a:ln>
            <a:effectLst/>
          </c:spPr>
          <c:txPr>
            <a:bodyPr rot="-54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4612636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US"/>
              <a:t>COVID-19 Imapct on CPI: Pre vs Post COVID</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lotArea>
      <c:layout/>
      <c:barChart>
        <c:barDir val="col"/>
        <c:grouping val="clustered"/>
        <c:varyColors val="0"/>
        <c:ser>
          <c:idx val="0"/>
          <c:order val="0"/>
          <c:tx>
            <c:strRef>
              <c:f>Q4_COVID!$A$13</c:f>
              <c:strCache>
                <c:ptCount val="1"/>
                <c:pt idx="0">
                  <c:v>Pre-COVID</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Ref>
              <c:f>(Q4_COVID!$B$12:$C$12,Q4_COVID!$G$12)</c:f>
              <c:strCache>
                <c:ptCount val="3"/>
                <c:pt idx="0">
                  <c:v>Food</c:v>
                </c:pt>
                <c:pt idx="1">
                  <c:v>Health</c:v>
                </c:pt>
                <c:pt idx="2">
                  <c:v>Essential Services</c:v>
                </c:pt>
              </c:strCache>
            </c:strRef>
          </c:cat>
          <c:val>
            <c:numRef>
              <c:f>(Q4_COVID!$B$13:$C$13,Q4_COVID!$G$13)</c:f>
              <c:numCache>
                <c:formatCode>General</c:formatCode>
                <c:ptCount val="3"/>
                <c:pt idx="0">
                  <c:v>147.25</c:v>
                </c:pt>
                <c:pt idx="1">
                  <c:v>148.94999999999999</c:v>
                </c:pt>
                <c:pt idx="2">
                  <c:v>137.74</c:v>
                </c:pt>
              </c:numCache>
            </c:numRef>
          </c:val>
          <c:extLst>
            <c:ext xmlns:c16="http://schemas.microsoft.com/office/drawing/2014/chart" uri="{C3380CC4-5D6E-409C-BE32-E72D297353CC}">
              <c16:uniqueId val="{00000000-BF05-419F-80BE-343E72989DB9}"/>
            </c:ext>
          </c:extLst>
        </c:ser>
        <c:ser>
          <c:idx val="1"/>
          <c:order val="1"/>
          <c:tx>
            <c:strRef>
              <c:f>Q4_COVID!$A$14</c:f>
              <c:strCache>
                <c:ptCount val="1"/>
                <c:pt idx="0">
                  <c:v>Post-COVID</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Ref>
              <c:f>(Q4_COVID!$B$12:$C$12,Q4_COVID!$G$12)</c:f>
              <c:strCache>
                <c:ptCount val="3"/>
                <c:pt idx="0">
                  <c:v>Food</c:v>
                </c:pt>
                <c:pt idx="1">
                  <c:v>Health</c:v>
                </c:pt>
                <c:pt idx="2">
                  <c:v>Essential Services</c:v>
                </c:pt>
              </c:strCache>
            </c:strRef>
          </c:cat>
          <c:val>
            <c:numRef>
              <c:f>(Q4_COVID!$B$14:$C$14,Q4_COVID!$G$14)</c:f>
              <c:numCache>
                <c:formatCode>General</c:formatCode>
                <c:ptCount val="3"/>
                <c:pt idx="0">
                  <c:v>157.52000000000001</c:v>
                </c:pt>
                <c:pt idx="1">
                  <c:v>155.88999999999999</c:v>
                </c:pt>
                <c:pt idx="2">
                  <c:v>144.03</c:v>
                </c:pt>
              </c:numCache>
            </c:numRef>
          </c:val>
          <c:extLst>
            <c:ext xmlns:c16="http://schemas.microsoft.com/office/drawing/2014/chart" uri="{C3380CC4-5D6E-409C-BE32-E72D297353CC}">
              <c16:uniqueId val="{00000001-BF05-419F-80BE-343E72989DB9}"/>
            </c:ext>
          </c:extLst>
        </c:ser>
        <c:dLbls>
          <c:dLblPos val="outEnd"/>
          <c:showLegendKey val="0"/>
          <c:showVal val="1"/>
          <c:showCatName val="0"/>
          <c:showSerName val="0"/>
          <c:showPercent val="0"/>
          <c:showBubbleSize val="0"/>
        </c:dLbls>
        <c:gapWidth val="100"/>
        <c:overlap val="-24"/>
        <c:axId val="654760568"/>
        <c:axId val="654764168"/>
      </c:barChart>
      <c:catAx>
        <c:axId val="654760568"/>
        <c:scaling>
          <c:orientation val="minMax"/>
        </c:scaling>
        <c:delete val="0"/>
        <c:axPos val="b"/>
        <c:title>
          <c:tx>
            <c:rich>
              <a:bodyPr rot="0" spcFirstLastPara="1" vertOverflow="ellipsis" vert="horz" wrap="square" anchor="ctr" anchorCtr="1"/>
              <a:lstStyle/>
              <a:p>
                <a:pPr>
                  <a:defRPr sz="900" b="1" i="0" u="none" strike="noStrike" kern="1200" baseline="0">
                    <a:solidFill>
                      <a:schemeClr val="tx2"/>
                    </a:solidFill>
                    <a:latin typeface="+mn-lt"/>
                    <a:ea typeface="+mn-ea"/>
                    <a:cs typeface="+mn-cs"/>
                  </a:defRPr>
                </a:pPr>
                <a:r>
                  <a:rPr lang="en-US"/>
                  <a:t>Category</a:t>
                </a:r>
              </a:p>
            </c:rich>
          </c:tx>
          <c:overlay val="0"/>
          <c:spPr>
            <a:noFill/>
            <a:ln>
              <a:noFill/>
            </a:ln>
            <a:effectLst/>
          </c:spPr>
          <c:txPr>
            <a:bodyPr rot="0" spcFirstLastPara="1" vertOverflow="ellipsis" vert="horz" wrap="square" anchor="ctr" anchorCtr="1"/>
            <a:lstStyle/>
            <a:p>
              <a:pPr>
                <a:defRPr sz="900" b="1" i="0" u="none" strike="noStrike" kern="1200" baseline="0">
                  <a:solidFill>
                    <a:schemeClr val="tx2"/>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654764168"/>
        <c:crosses val="autoZero"/>
        <c:auto val="1"/>
        <c:lblAlgn val="ctr"/>
        <c:lblOffset val="100"/>
        <c:noMultiLvlLbl val="0"/>
      </c:catAx>
      <c:valAx>
        <c:axId val="654764168"/>
        <c:scaling>
          <c:orientation val="minMax"/>
        </c:scaling>
        <c:delete val="0"/>
        <c:axPos val="l"/>
        <c:majorGridlines>
          <c:spPr>
            <a:ln w="9525" cap="flat" cmpd="sng" algn="ctr">
              <a:solidFill>
                <a:schemeClr val="tx2">
                  <a:lumMod val="15000"/>
                  <a:lumOff val="85000"/>
                </a:schemeClr>
              </a:solidFill>
              <a:round/>
            </a:ln>
            <a:effectLst/>
          </c:spPr>
        </c:majorGridlines>
        <c:title>
          <c:tx>
            <c:rich>
              <a:bodyPr rot="-5400000" spcFirstLastPara="1" vertOverflow="ellipsis" vert="horz" wrap="square" anchor="ctr" anchorCtr="1"/>
              <a:lstStyle/>
              <a:p>
                <a:pPr>
                  <a:defRPr sz="900" b="1" i="0" u="none" strike="noStrike" kern="1200" baseline="0">
                    <a:solidFill>
                      <a:schemeClr val="tx2"/>
                    </a:solidFill>
                    <a:latin typeface="+mn-lt"/>
                    <a:ea typeface="+mn-ea"/>
                    <a:cs typeface="+mn-cs"/>
                  </a:defRPr>
                </a:pPr>
                <a:r>
                  <a:rPr lang="en-US"/>
                  <a:t>Average CPI</a:t>
                </a:r>
              </a:p>
            </c:rich>
          </c:tx>
          <c:overlay val="0"/>
          <c:spPr>
            <a:noFill/>
            <a:ln>
              <a:noFill/>
            </a:ln>
            <a:effectLst/>
          </c:spPr>
          <c:txPr>
            <a:bodyPr rot="-5400000" spcFirstLastPara="1" vertOverflow="ellipsis" vert="horz" wrap="square" anchor="ctr" anchorCtr="1"/>
            <a:lstStyle/>
            <a:p>
              <a:pPr>
                <a:defRPr sz="900" b="1" i="0" u="none" strike="noStrike" kern="1200" baseline="0">
                  <a:solidFill>
                    <a:schemeClr val="tx2"/>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654760568"/>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kumimoji="0" lang="en-US" sz="1400" b="0" i="0" u="none" strike="noStrike" kern="1200" cap="none" spc="0" normalizeH="0" baseline="0" noProof="0">
                <a:ln>
                  <a:noFill/>
                </a:ln>
                <a:solidFill>
                  <a:sysClr val="windowText" lastClr="000000">
                    <a:lumMod val="65000"/>
                    <a:lumOff val="35000"/>
                  </a:sysClr>
                </a:solidFill>
                <a:effectLst/>
                <a:uLnTx/>
                <a:uFillTx/>
                <a:latin typeface="Aptos Narrow" panose="02110004020202020204"/>
              </a:rPr>
              <a:t>Correlation of CPI Categories with Oil &amp; Fats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clustered"/>
        <c:varyColors val="0"/>
        <c:ser>
          <c:idx val="0"/>
          <c:order val="0"/>
          <c:tx>
            <c:strRef>
              <c:f>Q5_OIL_ANALYSIS!$F$5</c:f>
              <c:strCache>
                <c:ptCount val="1"/>
                <c:pt idx="0">
                  <c:v>Correlation with Oils &amp; Fats</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Q5_OIL_ANALYSIS!$E$6:$E$15</c:f>
              <c:strCache>
                <c:ptCount val="10"/>
                <c:pt idx="0">
                  <c:v>Food &amp; Beverages</c:v>
                </c:pt>
                <c:pt idx="1">
                  <c:v>Cereals &amp; Products</c:v>
                </c:pt>
                <c:pt idx="2">
                  <c:v>Meat &amp; Fish</c:v>
                </c:pt>
                <c:pt idx="3">
                  <c:v>Egg</c:v>
                </c:pt>
                <c:pt idx="4">
                  <c:v>Milk &amp; Products</c:v>
                </c:pt>
                <c:pt idx="5">
                  <c:v>Vegetables</c:v>
                </c:pt>
                <c:pt idx="6">
                  <c:v>Fuel &amp; Light</c:v>
                </c:pt>
                <c:pt idx="7">
                  <c:v>Health</c:v>
                </c:pt>
                <c:pt idx="8">
                  <c:v>Transport &amp; Communication</c:v>
                </c:pt>
                <c:pt idx="9">
                  <c:v>Education</c:v>
                </c:pt>
              </c:strCache>
            </c:strRef>
          </c:cat>
          <c:val>
            <c:numRef>
              <c:f>Q5_OIL_ANALYSIS!$F$6:$F$15</c:f>
              <c:numCache>
                <c:formatCode>0.00</c:formatCode>
                <c:ptCount val="10"/>
                <c:pt idx="0">
                  <c:v>7.5933293190965423E-2</c:v>
                </c:pt>
                <c:pt idx="1">
                  <c:v>-0.18552294912671397</c:v>
                </c:pt>
                <c:pt idx="2">
                  <c:v>0.42897047156529466</c:v>
                </c:pt>
                <c:pt idx="3">
                  <c:v>1.2156112223623294E-2</c:v>
                </c:pt>
                <c:pt idx="4">
                  <c:v>-0.29533638292446873</c:v>
                </c:pt>
                <c:pt idx="5">
                  <c:v>-0.20254440048319006</c:v>
                </c:pt>
                <c:pt idx="6">
                  <c:v>0.56677410462788358</c:v>
                </c:pt>
                <c:pt idx="7">
                  <c:v>0.31478007564938892</c:v>
                </c:pt>
                <c:pt idx="8">
                  <c:v>0.48186156352268306</c:v>
                </c:pt>
                <c:pt idx="9">
                  <c:v>-0.23085616692933014</c:v>
                </c:pt>
              </c:numCache>
            </c:numRef>
          </c:val>
          <c:extLst>
            <c:ext xmlns:c16="http://schemas.microsoft.com/office/drawing/2014/chart" uri="{C3380CC4-5D6E-409C-BE32-E72D297353CC}">
              <c16:uniqueId val="{00000000-BFD3-4EFA-8066-ED31005C2C51}"/>
            </c:ext>
          </c:extLst>
        </c:ser>
        <c:dLbls>
          <c:dLblPos val="outEnd"/>
          <c:showLegendKey val="0"/>
          <c:showVal val="1"/>
          <c:showCatName val="0"/>
          <c:showSerName val="0"/>
          <c:showPercent val="0"/>
          <c:showBubbleSize val="0"/>
        </c:dLbls>
        <c:gapWidth val="219"/>
        <c:axId val="674043080"/>
        <c:axId val="674036240"/>
      </c:barChart>
      <c:catAx>
        <c:axId val="674043080"/>
        <c:scaling>
          <c:orientation val="minMax"/>
        </c:scaling>
        <c:delete val="0"/>
        <c:axPos val="l"/>
        <c:numFmt formatCode="General" sourceLinked="1"/>
        <c:majorTickMark val="out"/>
        <c:minorTickMark val="none"/>
        <c:tickLblPos val="low"/>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74036240"/>
        <c:crosses val="autoZero"/>
        <c:auto val="1"/>
        <c:lblAlgn val="ctr"/>
        <c:lblOffset val="100"/>
        <c:noMultiLvlLbl val="0"/>
      </c:catAx>
      <c:valAx>
        <c:axId val="674036240"/>
        <c:scaling>
          <c:orientation val="minMax"/>
        </c:scaling>
        <c:delete val="1"/>
        <c:axPos val="b"/>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crossAx val="67404308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[CPI Project(2).xlsx]PT YoY Trend!PivotTable3</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India CPI Yoy Inflation Trend- 2017 to 2023</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'PT YoY Trend'!$B$5</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'PT YoY Trend'!$A$6:$A$13</c:f>
              <c:strCache>
                <c:ptCount val="7"/>
                <c:pt idx="0">
                  <c:v>2017</c:v>
                </c:pt>
                <c:pt idx="1">
                  <c:v>2018</c:v>
                </c:pt>
                <c:pt idx="2">
                  <c:v>2019</c:v>
                </c:pt>
                <c:pt idx="3">
                  <c:v>2020</c:v>
                </c:pt>
                <c:pt idx="4">
                  <c:v>2021</c:v>
                </c:pt>
                <c:pt idx="5">
                  <c:v>2022</c:v>
                </c:pt>
                <c:pt idx="6">
                  <c:v>2023</c:v>
                </c:pt>
              </c:strCache>
            </c:strRef>
          </c:cat>
          <c:val>
            <c:numRef>
              <c:f>'PT YoY Trend'!$B$6:$B$13</c:f>
              <c:numCache>
                <c:formatCode>0.00</c:formatCode>
                <c:ptCount val="7"/>
                <c:pt idx="0">
                  <c:v>3.3273885375365366</c:v>
                </c:pt>
                <c:pt idx="1">
                  <c:v>3.9676971910429089</c:v>
                </c:pt>
                <c:pt idx="2">
                  <c:v>3.7704798059274536</c:v>
                </c:pt>
                <c:pt idx="3">
                  <c:v>6.2246958890580313</c:v>
                </c:pt>
                <c:pt idx="4">
                  <c:v>5.5772152293999806</c:v>
                </c:pt>
                <c:pt idx="5">
                  <c:v>6.6240649804989218</c:v>
                </c:pt>
                <c:pt idx="6">
                  <c:v>5.892129520821813</c:v>
                </c:pt>
              </c:numCache>
            </c:numRef>
          </c:val>
          <c:smooth val="0"/>
          <c:extLst>
            <c:ext xmlns:c16="http://schemas.microsoft.com/office/drawing/2014/chart" uri="{C3380CC4-5D6E-409C-BE32-E72D297353CC}">
              <c16:uniqueId val="{00000000-C7D6-4033-B95D-44F9D1BE97D2}"/>
            </c:ext>
          </c:extLst>
        </c:ser>
        <c:dLbls>
          <c:dLblPos val="t"/>
          <c:showLegendKey val="0"/>
          <c:showVal val="1"/>
          <c:showCatName val="0"/>
          <c:showSerName val="0"/>
          <c:showPercent val="0"/>
          <c:showBubbleSize val="0"/>
        </c:dLbls>
        <c:marker val="1"/>
        <c:smooth val="0"/>
        <c:axId val="587381952"/>
        <c:axId val="587384112"/>
      </c:lineChart>
      <c:catAx>
        <c:axId val="5873819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87384112"/>
        <c:crosses val="autoZero"/>
        <c:auto val="1"/>
        <c:lblAlgn val="ctr"/>
        <c:lblOffset val="100"/>
        <c:noMultiLvlLbl val="0"/>
      </c:catAx>
      <c:valAx>
        <c:axId val="587384112"/>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8738195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CPI Contribution by Broad Category- April 2023</a:t>
            </a:r>
          </a:p>
        </c:rich>
      </c:tx>
      <c:layout>
        <c:manualLayout>
          <c:xMode val="edge"/>
          <c:yMode val="edge"/>
          <c:x val="0.12783333333333333"/>
          <c:y val="3.1872509960159362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Q1_Contribution!$A$7:$A$18</c:f>
              <c:strCache>
                <c:ptCount val="12"/>
                <c:pt idx="0">
                  <c:v>Food</c:v>
                </c:pt>
                <c:pt idx="1">
                  <c:v>Pan, Tobacco &amp; Intoxicants</c:v>
                </c:pt>
                <c:pt idx="2">
                  <c:v>Clothing &amp; Footwear</c:v>
                </c:pt>
                <c:pt idx="3">
                  <c:v>Housing</c:v>
                </c:pt>
                <c:pt idx="4">
                  <c:v>Fuel &amp; Energy</c:v>
                </c:pt>
                <c:pt idx="5">
                  <c:v>Household</c:v>
                </c:pt>
                <c:pt idx="6">
                  <c:v>Healthcare</c:v>
                </c:pt>
                <c:pt idx="7">
                  <c:v>Transport &amp; Communication</c:v>
                </c:pt>
                <c:pt idx="8">
                  <c:v>Recreation</c:v>
                </c:pt>
                <c:pt idx="9">
                  <c:v>Education</c:v>
                </c:pt>
                <c:pt idx="10">
                  <c:v>Personal Care</c:v>
                </c:pt>
                <c:pt idx="11">
                  <c:v>Miscellaneous</c:v>
                </c:pt>
              </c:strCache>
            </c:strRef>
          </c:cat>
          <c:val>
            <c:numRef>
              <c:f>Q1_Contribution!$C$7:$C$18</c:f>
              <c:numCache>
                <c:formatCode>0.00%</c:formatCode>
                <c:ptCount val="12"/>
                <c:pt idx="0">
                  <c:v>8.2694184911448892E-2</c:v>
                </c:pt>
                <c:pt idx="1">
                  <c:v>9.3245944312741122E-2</c:v>
                </c:pt>
                <c:pt idx="2">
                  <c:v>8.6319899595593344E-2</c:v>
                </c:pt>
                <c:pt idx="3">
                  <c:v>8.1439129828475787E-2</c:v>
                </c:pt>
                <c:pt idx="4">
                  <c:v>8.4460558731929522E-2</c:v>
                </c:pt>
                <c:pt idx="5">
                  <c:v>8.1160228698926223E-2</c:v>
                </c:pt>
                <c:pt idx="6">
                  <c:v>8.5994514944452191E-2</c:v>
                </c:pt>
                <c:pt idx="7">
                  <c:v>7.6465393018175051E-2</c:v>
                </c:pt>
                <c:pt idx="8">
                  <c:v>7.9347371356853977E-2</c:v>
                </c:pt>
                <c:pt idx="9">
                  <c:v>8.1996932087574956E-2</c:v>
                </c:pt>
                <c:pt idx="10">
                  <c:v>8.5529679728536229E-2</c:v>
                </c:pt>
                <c:pt idx="11">
                  <c:v>8.1346162785292608E-2</c:v>
                </c:pt>
              </c:numCache>
            </c:numRef>
          </c:val>
          <c:extLst>
            <c:ext xmlns:c16="http://schemas.microsoft.com/office/drawing/2014/chart" uri="{C3380CC4-5D6E-409C-BE32-E72D297353CC}">
              <c16:uniqueId val="{00000000-AB98-442B-9BBB-D9E383265E0B}"/>
            </c:ext>
          </c:extLst>
        </c:ser>
        <c:dLbls>
          <c:dLblPos val="outEnd"/>
          <c:showLegendKey val="0"/>
          <c:showVal val="1"/>
          <c:showCatName val="0"/>
          <c:showSerName val="0"/>
          <c:showPercent val="0"/>
          <c:showBubbleSize val="0"/>
        </c:dLbls>
        <c:gapWidth val="219"/>
        <c:overlap val="-27"/>
        <c:axId val="375217336"/>
        <c:axId val="580988864"/>
      </c:barChart>
      <c:catAx>
        <c:axId val="3752173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80988864"/>
        <c:crosses val="autoZero"/>
        <c:auto val="1"/>
        <c:lblAlgn val="ctr"/>
        <c:lblOffset val="100"/>
        <c:noMultiLvlLbl val="0"/>
      </c:catAx>
      <c:valAx>
        <c:axId val="580988864"/>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7521733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US"/>
              <a:t>COVID-19 Imapct on CPI: Pre vs Post COVID</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lotArea>
      <c:layout/>
      <c:barChart>
        <c:barDir val="col"/>
        <c:grouping val="clustered"/>
        <c:varyColors val="0"/>
        <c:ser>
          <c:idx val="0"/>
          <c:order val="0"/>
          <c:tx>
            <c:strRef>
              <c:f>Q4_COVID!$A$13</c:f>
              <c:strCache>
                <c:ptCount val="1"/>
                <c:pt idx="0">
                  <c:v>Pre-COVID</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Ref>
              <c:f>(Q4_COVID!$B$12:$C$12,Q4_COVID!$G$12)</c:f>
              <c:strCache>
                <c:ptCount val="3"/>
                <c:pt idx="0">
                  <c:v>Food</c:v>
                </c:pt>
                <c:pt idx="1">
                  <c:v>Health</c:v>
                </c:pt>
                <c:pt idx="2">
                  <c:v>Essential Services</c:v>
                </c:pt>
              </c:strCache>
            </c:strRef>
          </c:cat>
          <c:val>
            <c:numRef>
              <c:f>(Q4_COVID!$B$13:$C$13,Q4_COVID!$G$13)</c:f>
              <c:numCache>
                <c:formatCode>General</c:formatCode>
                <c:ptCount val="3"/>
                <c:pt idx="0">
                  <c:v>147.25</c:v>
                </c:pt>
                <c:pt idx="1">
                  <c:v>148.94999999999999</c:v>
                </c:pt>
                <c:pt idx="2">
                  <c:v>137.74</c:v>
                </c:pt>
              </c:numCache>
            </c:numRef>
          </c:val>
          <c:extLst>
            <c:ext xmlns:c16="http://schemas.microsoft.com/office/drawing/2014/chart" uri="{C3380CC4-5D6E-409C-BE32-E72D297353CC}">
              <c16:uniqueId val="{00000000-575F-4769-9400-49DA57DCE94D}"/>
            </c:ext>
          </c:extLst>
        </c:ser>
        <c:ser>
          <c:idx val="1"/>
          <c:order val="1"/>
          <c:tx>
            <c:strRef>
              <c:f>Q4_COVID!$A$14</c:f>
              <c:strCache>
                <c:ptCount val="1"/>
                <c:pt idx="0">
                  <c:v>Post-COVID</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Ref>
              <c:f>(Q4_COVID!$B$12:$C$12,Q4_COVID!$G$12)</c:f>
              <c:strCache>
                <c:ptCount val="3"/>
                <c:pt idx="0">
                  <c:v>Food</c:v>
                </c:pt>
                <c:pt idx="1">
                  <c:v>Health</c:v>
                </c:pt>
                <c:pt idx="2">
                  <c:v>Essential Services</c:v>
                </c:pt>
              </c:strCache>
            </c:strRef>
          </c:cat>
          <c:val>
            <c:numRef>
              <c:f>(Q4_COVID!$B$14:$C$14,Q4_COVID!$G$14)</c:f>
              <c:numCache>
                <c:formatCode>General</c:formatCode>
                <c:ptCount val="3"/>
                <c:pt idx="0">
                  <c:v>157.52000000000001</c:v>
                </c:pt>
                <c:pt idx="1">
                  <c:v>155.88999999999999</c:v>
                </c:pt>
                <c:pt idx="2">
                  <c:v>144.03</c:v>
                </c:pt>
              </c:numCache>
            </c:numRef>
          </c:val>
          <c:extLst>
            <c:ext xmlns:c16="http://schemas.microsoft.com/office/drawing/2014/chart" uri="{C3380CC4-5D6E-409C-BE32-E72D297353CC}">
              <c16:uniqueId val="{00000001-575F-4769-9400-49DA57DCE94D}"/>
            </c:ext>
          </c:extLst>
        </c:ser>
        <c:dLbls>
          <c:dLblPos val="outEnd"/>
          <c:showLegendKey val="0"/>
          <c:showVal val="1"/>
          <c:showCatName val="0"/>
          <c:showSerName val="0"/>
          <c:showPercent val="0"/>
          <c:showBubbleSize val="0"/>
        </c:dLbls>
        <c:gapWidth val="100"/>
        <c:overlap val="-24"/>
        <c:axId val="654760568"/>
        <c:axId val="654764168"/>
      </c:barChart>
      <c:catAx>
        <c:axId val="654760568"/>
        <c:scaling>
          <c:orientation val="minMax"/>
        </c:scaling>
        <c:delete val="0"/>
        <c:axPos val="b"/>
        <c:title>
          <c:tx>
            <c:rich>
              <a:bodyPr rot="0" spcFirstLastPara="1" vertOverflow="ellipsis" vert="horz" wrap="square" anchor="ctr" anchorCtr="1"/>
              <a:lstStyle/>
              <a:p>
                <a:pPr>
                  <a:defRPr sz="900" b="1" i="0" u="none" strike="noStrike" kern="1200" baseline="0">
                    <a:solidFill>
                      <a:schemeClr val="tx2"/>
                    </a:solidFill>
                    <a:latin typeface="+mn-lt"/>
                    <a:ea typeface="+mn-ea"/>
                    <a:cs typeface="+mn-cs"/>
                  </a:defRPr>
                </a:pPr>
                <a:r>
                  <a:rPr lang="en-US"/>
                  <a:t>Category</a:t>
                </a:r>
              </a:p>
            </c:rich>
          </c:tx>
          <c:overlay val="0"/>
          <c:spPr>
            <a:noFill/>
            <a:ln>
              <a:noFill/>
            </a:ln>
            <a:effectLst/>
          </c:spPr>
          <c:txPr>
            <a:bodyPr rot="0" spcFirstLastPara="1" vertOverflow="ellipsis" vert="horz" wrap="square" anchor="ctr" anchorCtr="1"/>
            <a:lstStyle/>
            <a:p>
              <a:pPr>
                <a:defRPr sz="900" b="1" i="0" u="none" strike="noStrike" kern="1200" baseline="0">
                  <a:solidFill>
                    <a:schemeClr val="tx2"/>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654764168"/>
        <c:crosses val="autoZero"/>
        <c:auto val="1"/>
        <c:lblAlgn val="ctr"/>
        <c:lblOffset val="100"/>
        <c:noMultiLvlLbl val="0"/>
      </c:catAx>
      <c:valAx>
        <c:axId val="654764168"/>
        <c:scaling>
          <c:orientation val="minMax"/>
        </c:scaling>
        <c:delete val="0"/>
        <c:axPos val="l"/>
        <c:majorGridlines>
          <c:spPr>
            <a:ln w="9525" cap="flat" cmpd="sng" algn="ctr">
              <a:solidFill>
                <a:schemeClr val="tx2">
                  <a:lumMod val="15000"/>
                  <a:lumOff val="85000"/>
                </a:schemeClr>
              </a:solidFill>
              <a:round/>
            </a:ln>
            <a:effectLst/>
          </c:spPr>
        </c:majorGridlines>
        <c:title>
          <c:tx>
            <c:rich>
              <a:bodyPr rot="-5400000" spcFirstLastPara="1" vertOverflow="ellipsis" vert="horz" wrap="square" anchor="ctr" anchorCtr="1"/>
              <a:lstStyle/>
              <a:p>
                <a:pPr>
                  <a:defRPr sz="900" b="1" i="0" u="none" strike="noStrike" kern="1200" baseline="0">
                    <a:solidFill>
                      <a:schemeClr val="tx2"/>
                    </a:solidFill>
                    <a:latin typeface="+mn-lt"/>
                    <a:ea typeface="+mn-ea"/>
                    <a:cs typeface="+mn-cs"/>
                  </a:defRPr>
                </a:pPr>
                <a:r>
                  <a:rPr lang="en-US"/>
                  <a:t>Average CPI</a:t>
                </a:r>
              </a:p>
            </c:rich>
          </c:tx>
          <c:overlay val="0"/>
          <c:spPr>
            <a:noFill/>
            <a:ln>
              <a:noFill/>
            </a:ln>
            <a:effectLst/>
          </c:spPr>
          <c:txPr>
            <a:bodyPr rot="-5400000" spcFirstLastPara="1" vertOverflow="ellipsis" vert="horz" wrap="square" anchor="ctr" anchorCtr="1"/>
            <a:lstStyle/>
            <a:p>
              <a:pPr>
                <a:defRPr sz="900" b="1" i="0" u="none" strike="noStrike" kern="1200" baseline="0">
                  <a:solidFill>
                    <a:schemeClr val="tx2"/>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654760568"/>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kumimoji="0" lang="en-US" sz="1400" b="0" i="0" u="none" strike="noStrike" kern="1200" cap="none" spc="0" normalizeH="0" baseline="0" noProof="0">
                <a:ln>
                  <a:noFill/>
                </a:ln>
                <a:solidFill>
                  <a:sysClr val="windowText" lastClr="000000">
                    <a:lumMod val="65000"/>
                    <a:lumOff val="35000"/>
                  </a:sysClr>
                </a:solidFill>
                <a:effectLst/>
                <a:uLnTx/>
                <a:uFillTx/>
                <a:latin typeface="Aptos Narrow" panose="02110004020202020204"/>
              </a:rPr>
              <a:t>Correlation of CPI Categories with Oil &amp; Fats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clustered"/>
        <c:varyColors val="0"/>
        <c:ser>
          <c:idx val="0"/>
          <c:order val="0"/>
          <c:tx>
            <c:strRef>
              <c:f>Q5_OIL_ANALYSIS!$F$5</c:f>
              <c:strCache>
                <c:ptCount val="1"/>
                <c:pt idx="0">
                  <c:v>Correlation with Oils &amp; Fats</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Q5_OIL_ANALYSIS!$E$6:$E$15</c:f>
              <c:strCache>
                <c:ptCount val="10"/>
                <c:pt idx="0">
                  <c:v>Food &amp; Beverages</c:v>
                </c:pt>
                <c:pt idx="1">
                  <c:v>Cereals &amp; Products</c:v>
                </c:pt>
                <c:pt idx="2">
                  <c:v>Meat &amp; Fish</c:v>
                </c:pt>
                <c:pt idx="3">
                  <c:v>Egg</c:v>
                </c:pt>
                <c:pt idx="4">
                  <c:v>Milk &amp; Products</c:v>
                </c:pt>
                <c:pt idx="5">
                  <c:v>Vegetables</c:v>
                </c:pt>
                <c:pt idx="6">
                  <c:v>Fuel &amp; Light</c:v>
                </c:pt>
                <c:pt idx="7">
                  <c:v>Health</c:v>
                </c:pt>
                <c:pt idx="8">
                  <c:v>Transport &amp; Communication</c:v>
                </c:pt>
                <c:pt idx="9">
                  <c:v>Education</c:v>
                </c:pt>
              </c:strCache>
            </c:strRef>
          </c:cat>
          <c:val>
            <c:numRef>
              <c:f>Q5_OIL_ANALYSIS!$F$6:$F$15</c:f>
              <c:numCache>
                <c:formatCode>0.00</c:formatCode>
                <c:ptCount val="10"/>
                <c:pt idx="0">
                  <c:v>7.5933293190965423E-2</c:v>
                </c:pt>
                <c:pt idx="1">
                  <c:v>-0.18552294912671397</c:v>
                </c:pt>
                <c:pt idx="2">
                  <c:v>0.42897047156529466</c:v>
                </c:pt>
                <c:pt idx="3">
                  <c:v>1.2156112223623294E-2</c:v>
                </c:pt>
                <c:pt idx="4">
                  <c:v>-0.29533638292446873</c:v>
                </c:pt>
                <c:pt idx="5">
                  <c:v>-0.20254440048319006</c:v>
                </c:pt>
                <c:pt idx="6">
                  <c:v>0.56677410462788358</c:v>
                </c:pt>
                <c:pt idx="7">
                  <c:v>0.31478007564938892</c:v>
                </c:pt>
                <c:pt idx="8">
                  <c:v>0.48186156352268306</c:v>
                </c:pt>
                <c:pt idx="9">
                  <c:v>-0.23085616692933014</c:v>
                </c:pt>
              </c:numCache>
            </c:numRef>
          </c:val>
          <c:extLst>
            <c:ext xmlns:c16="http://schemas.microsoft.com/office/drawing/2014/chart" uri="{C3380CC4-5D6E-409C-BE32-E72D297353CC}">
              <c16:uniqueId val="{00000000-8B1A-4001-BA79-74E225C835ED}"/>
            </c:ext>
          </c:extLst>
        </c:ser>
        <c:dLbls>
          <c:dLblPos val="outEnd"/>
          <c:showLegendKey val="0"/>
          <c:showVal val="1"/>
          <c:showCatName val="0"/>
          <c:showSerName val="0"/>
          <c:showPercent val="0"/>
          <c:showBubbleSize val="0"/>
        </c:dLbls>
        <c:gapWidth val="219"/>
        <c:axId val="674043080"/>
        <c:axId val="674036240"/>
      </c:barChart>
      <c:catAx>
        <c:axId val="674043080"/>
        <c:scaling>
          <c:orientation val="minMax"/>
        </c:scaling>
        <c:delete val="0"/>
        <c:axPos val="l"/>
        <c:numFmt formatCode="General" sourceLinked="1"/>
        <c:majorTickMark val="out"/>
        <c:minorTickMark val="none"/>
        <c:tickLblPos val="low"/>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74036240"/>
        <c:crosses val="autoZero"/>
        <c:auto val="1"/>
        <c:lblAlgn val="ctr"/>
        <c:lblOffset val="100"/>
        <c:noMultiLvlLbl val="0"/>
      </c:catAx>
      <c:valAx>
        <c:axId val="674036240"/>
        <c:scaling>
          <c:orientation val="minMax"/>
        </c:scaling>
        <c:delete val="1"/>
        <c:axPos val="b"/>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crossAx val="67404308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Food CPI Trend:June 22- May 23</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Q3_Food_Inflation!$B$5</c:f>
              <c:strCache>
                <c:ptCount val="1"/>
                <c:pt idx="0">
                  <c:v>Food_CPI</c:v>
                </c:pt>
              </c:strCache>
            </c:strRef>
          </c:tx>
          <c:spPr>
            <a:ln w="34925" cap="rnd">
              <a:solidFill>
                <a:schemeClr val="accent1"/>
              </a:solidFill>
              <a:round/>
            </a:ln>
            <a:effectLst>
              <a:outerShdw blurRad="57150" dist="19050" dir="5400000" algn="ctr" rotWithShape="0">
                <a:srgbClr val="000000">
                  <a:alpha val="63000"/>
                </a:srgbClr>
              </a:outerShdw>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Q3_Food_Inflation!$A$6:$A$17</c:f>
              <c:numCache>
                <c:formatCode>mmm\-yy</c:formatCode>
                <c:ptCount val="12"/>
                <c:pt idx="0">
                  <c:v>44734</c:v>
                </c:pt>
                <c:pt idx="1">
                  <c:v>44764</c:v>
                </c:pt>
                <c:pt idx="2">
                  <c:v>44795</c:v>
                </c:pt>
                <c:pt idx="3">
                  <c:v>44826</c:v>
                </c:pt>
                <c:pt idx="4">
                  <c:v>44856</c:v>
                </c:pt>
                <c:pt idx="5">
                  <c:v>44887</c:v>
                </c:pt>
                <c:pt idx="6">
                  <c:v>44917</c:v>
                </c:pt>
                <c:pt idx="7">
                  <c:v>44948</c:v>
                </c:pt>
                <c:pt idx="8">
                  <c:v>44979</c:v>
                </c:pt>
                <c:pt idx="9">
                  <c:v>45007</c:v>
                </c:pt>
                <c:pt idx="10">
                  <c:v>45038</c:v>
                </c:pt>
                <c:pt idx="11">
                  <c:v>45068</c:v>
                </c:pt>
              </c:numCache>
            </c:numRef>
          </c:cat>
          <c:val>
            <c:numRef>
              <c:f>Q3_Food_Inflation!$B$6:$B$17</c:f>
              <c:numCache>
                <c:formatCode>General</c:formatCode>
                <c:ptCount val="12"/>
                <c:pt idx="0">
                  <c:v>174.9</c:v>
                </c:pt>
                <c:pt idx="1">
                  <c:v>175</c:v>
                </c:pt>
                <c:pt idx="2">
                  <c:v>176.3</c:v>
                </c:pt>
                <c:pt idx="3">
                  <c:v>177.8</c:v>
                </c:pt>
                <c:pt idx="4">
                  <c:v>179.6</c:v>
                </c:pt>
                <c:pt idx="5">
                  <c:v>178.3</c:v>
                </c:pt>
                <c:pt idx="6">
                  <c:v>175.9</c:v>
                </c:pt>
                <c:pt idx="7">
                  <c:v>176.7</c:v>
                </c:pt>
                <c:pt idx="8">
                  <c:v>177</c:v>
                </c:pt>
                <c:pt idx="9">
                  <c:v>177</c:v>
                </c:pt>
                <c:pt idx="10">
                  <c:v>177.9</c:v>
                </c:pt>
                <c:pt idx="11">
                  <c:v>179.1</c:v>
                </c:pt>
              </c:numCache>
            </c:numRef>
          </c:val>
          <c:smooth val="0"/>
          <c:extLst>
            <c:ext xmlns:c16="http://schemas.microsoft.com/office/drawing/2014/chart" uri="{C3380CC4-5D6E-409C-BE32-E72D297353CC}">
              <c16:uniqueId val="{00000000-C3AB-4A13-A3EE-E39119E802B2}"/>
            </c:ext>
          </c:extLst>
        </c:ser>
        <c:dLbls>
          <c:dLblPos val="t"/>
          <c:showLegendKey val="0"/>
          <c:showVal val="1"/>
          <c:showCatName val="0"/>
          <c:showSerName val="0"/>
          <c:showPercent val="0"/>
          <c:showBubbleSize val="0"/>
        </c:dLbls>
        <c:smooth val="0"/>
        <c:axId val="646126368"/>
        <c:axId val="646125288"/>
      </c:lineChart>
      <c:dateAx>
        <c:axId val="646126368"/>
        <c:scaling>
          <c:orientation val="minMax"/>
        </c:scaling>
        <c:delete val="0"/>
        <c:axPos val="b"/>
        <c:title>
          <c:tx>
            <c:rich>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r>
                  <a:rPr lang="en-US"/>
                  <a:t>Month</a:t>
                </a:r>
              </a:p>
            </c:rich>
          </c:tx>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itle>
        <c:numFmt formatCode="mmm\-yy" sourceLinked="1"/>
        <c:majorTickMark val="out"/>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46125288"/>
        <c:crosses val="autoZero"/>
        <c:auto val="1"/>
        <c:lblOffset val="100"/>
        <c:baseTimeUnit val="months"/>
      </c:dateAx>
      <c:valAx>
        <c:axId val="646125288"/>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r>
                  <a:rPr lang="en-US"/>
                  <a:t>Food</a:t>
                </a:r>
                <a:r>
                  <a:rPr lang="en-US" baseline="0"/>
                  <a:t> CPI Index</a:t>
                </a:r>
              </a:p>
            </c:rich>
          </c:tx>
          <c:overlay val="0"/>
          <c:spPr>
            <a:noFill/>
            <a:ln>
              <a:noFill/>
            </a:ln>
            <a:effectLst/>
          </c:spPr>
          <c:txPr>
            <a:bodyPr rot="-54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4612636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4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4.xml><?xml version="1.0" encoding="utf-8"?>
<cs:chartStyle xmlns:cs="http://schemas.microsoft.com/office/drawing/2012/chartStyle" xmlns:a="http://schemas.openxmlformats.org/drawingml/2006/main" id="207">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lumOff val="2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7">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lumOff val="2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34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1" Type="http://schemas.openxmlformats.org/officeDocument/2006/relationships/chart" Target="../charts/chart5.xml"/></Relationships>
</file>

<file path=xl/drawings/_rels/drawing6.xml.rels><?xml version="1.0" encoding="UTF-8" standalone="yes"?>
<Relationships xmlns="http://schemas.openxmlformats.org/package/2006/relationships"><Relationship Id="rId3" Type="http://schemas.openxmlformats.org/officeDocument/2006/relationships/chart" Target="../charts/chart8.xml"/><Relationship Id="rId2" Type="http://schemas.openxmlformats.org/officeDocument/2006/relationships/chart" Target="../charts/chart7.xml"/><Relationship Id="rId1" Type="http://schemas.openxmlformats.org/officeDocument/2006/relationships/chart" Target="../charts/chart6.xml"/><Relationship Id="rId5" Type="http://schemas.openxmlformats.org/officeDocument/2006/relationships/chart" Target="../charts/chart10.xml"/><Relationship Id="rId4"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dr:twoCellAnchor>
    <xdr:from>
      <xdr:col>3</xdr:col>
      <xdr:colOff>238125</xdr:colOff>
      <xdr:row>4</xdr:row>
      <xdr:rowOff>4762</xdr:rowOff>
    </xdr:from>
    <xdr:to>
      <xdr:col>11</xdr:col>
      <xdr:colOff>200025</xdr:colOff>
      <xdr:row>13</xdr:row>
      <xdr:rowOff>328612</xdr:rowOff>
    </xdr:to>
    <xdr:graphicFrame macro="">
      <xdr:nvGraphicFramePr>
        <xdr:cNvPr id="2" name="Chart 1">
          <a:extLst>
            <a:ext uri="{FF2B5EF4-FFF2-40B4-BE49-F238E27FC236}">
              <a16:creationId xmlns:a16="http://schemas.microsoft.com/office/drawing/2014/main" id="{604469AF-C771-1D3B-5B69-41BBD916C1D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257175</xdr:colOff>
      <xdr:row>14</xdr:row>
      <xdr:rowOff>161925</xdr:rowOff>
    </xdr:from>
    <xdr:to>
      <xdr:col>11</xdr:col>
      <xdr:colOff>238125</xdr:colOff>
      <xdr:row>19</xdr:row>
      <xdr:rowOff>47625</xdr:rowOff>
    </xdr:to>
    <xdr:sp macro="" textlink="">
      <xdr:nvSpPr>
        <xdr:cNvPr id="3" name="Rectangle 2">
          <a:extLst>
            <a:ext uri="{FF2B5EF4-FFF2-40B4-BE49-F238E27FC236}">
              <a16:creationId xmlns:a16="http://schemas.microsoft.com/office/drawing/2014/main" id="{7FBE1324-A2DB-607C-ABDC-B1F7FEDBE67E}"/>
            </a:ext>
          </a:extLst>
        </xdr:cNvPr>
        <xdr:cNvSpPr/>
      </xdr:nvSpPr>
      <xdr:spPr>
        <a:xfrm>
          <a:off x="3895725" y="3486150"/>
          <a:ext cx="4857750" cy="857250"/>
        </a:xfrm>
        <a:prstGeom prst="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r>
            <a:rPr lang="en-US" sz="1200" b="1">
              <a:latin typeface="Calibri" panose="020F0502020204030204" pitchFamily="34" charset="0"/>
              <a:cs typeface="Calibri" panose="020F0502020204030204" pitchFamily="34" charset="0"/>
            </a:rPr>
            <a:t>Key Finding:</a:t>
          </a:r>
          <a:endParaRPr lang="en-US" sz="1200">
            <a:latin typeface="Calibri" panose="020F0502020204030204" pitchFamily="34" charset="0"/>
            <a:cs typeface="Calibri" panose="020F0502020204030204" pitchFamily="34" charset="0"/>
          </a:endParaRPr>
        </a:p>
        <a:p>
          <a:r>
            <a:rPr lang="en-US" b="0">
              <a:latin typeface="Calibri" panose="020F0502020204030204" pitchFamily="34" charset="0"/>
              <a:cs typeface="Calibri" panose="020F0502020204030204" pitchFamily="34" charset="0"/>
            </a:rPr>
            <a:t>Pan, Tobacco &amp; Intoxicants had the highest contribution at 9.32%, while Transport &amp; Communication had the lowest contribution at 7.65% in April 2023, based on the equal-weight methodology specified in the case study.</a:t>
          </a:r>
        </a:p>
        <a:p>
          <a:pPr algn="l"/>
          <a:endParaRPr lang="en-US" sz="1100"/>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2</xdr:col>
      <xdr:colOff>238125</xdr:colOff>
      <xdr:row>4</xdr:row>
      <xdr:rowOff>14287</xdr:rowOff>
    </xdr:from>
    <xdr:to>
      <xdr:col>9</xdr:col>
      <xdr:colOff>542925</xdr:colOff>
      <xdr:row>18</xdr:row>
      <xdr:rowOff>90487</xdr:rowOff>
    </xdr:to>
    <xdr:graphicFrame macro="">
      <xdr:nvGraphicFramePr>
        <xdr:cNvPr id="2" name="Chart 1">
          <a:extLst>
            <a:ext uri="{FF2B5EF4-FFF2-40B4-BE49-F238E27FC236}">
              <a16:creationId xmlns:a16="http://schemas.microsoft.com/office/drawing/2014/main" id="{2F518F9E-9C08-3292-FF5F-442CF711FCB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209550</xdr:colOff>
      <xdr:row>4</xdr:row>
      <xdr:rowOff>66675</xdr:rowOff>
    </xdr:from>
    <xdr:to>
      <xdr:col>15</xdr:col>
      <xdr:colOff>304800</xdr:colOff>
      <xdr:row>9</xdr:row>
      <xdr:rowOff>104775</xdr:rowOff>
    </xdr:to>
    <xdr:sp macro="" textlink="">
      <xdr:nvSpPr>
        <xdr:cNvPr id="3" name="Rectangle 2">
          <a:extLst>
            <a:ext uri="{FF2B5EF4-FFF2-40B4-BE49-F238E27FC236}">
              <a16:creationId xmlns:a16="http://schemas.microsoft.com/office/drawing/2014/main" id="{FFE0AC84-B716-8337-38AF-866E8CAE420D}"/>
            </a:ext>
          </a:extLst>
        </xdr:cNvPr>
        <xdr:cNvSpPr/>
      </xdr:nvSpPr>
      <xdr:spPr>
        <a:xfrm>
          <a:off x="7629525" y="447675"/>
          <a:ext cx="3143250" cy="990600"/>
        </a:xfrm>
        <a:prstGeom prst="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r>
            <a:rPr lang="en-US" sz="1200" b="1">
              <a:latin typeface="Calibri" panose="020F0502020204030204" pitchFamily="34" charset="0"/>
              <a:cs typeface="Calibri" panose="020F0502020204030204" pitchFamily="34" charset="0"/>
            </a:rPr>
            <a:t>Key Finding:</a:t>
          </a:r>
        </a:p>
        <a:p>
          <a:r>
            <a:rPr lang="en-US" b="0">
              <a:latin typeface="Calibri" panose="020F0502020204030204" pitchFamily="34" charset="0"/>
              <a:cs typeface="Calibri" panose="020F0502020204030204" pitchFamily="34" charset="0"/>
            </a:rPr>
            <a:t>India's highest average YoY CPI inflation during 2017–2023 was recorded in 2022 at 6.62%. Inflation remained elevated in 2020 and 2021 as well, before reaching its peak in 2022.</a:t>
          </a:r>
        </a:p>
        <a:p>
          <a:pPr algn="l"/>
          <a:endParaRPr lang="en-US" sz="1100"/>
        </a:p>
      </xdr:txBody>
    </xdr:sp>
    <xdr:clientData/>
  </xdr:twoCellAnchor>
  <xdr:twoCellAnchor>
    <xdr:from>
      <xdr:col>0</xdr:col>
      <xdr:colOff>523875</xdr:colOff>
      <xdr:row>19</xdr:row>
      <xdr:rowOff>123825</xdr:rowOff>
    </xdr:from>
    <xdr:to>
      <xdr:col>10</xdr:col>
      <xdr:colOff>114300</xdr:colOff>
      <xdr:row>27</xdr:row>
      <xdr:rowOff>57150</xdr:rowOff>
    </xdr:to>
    <xdr:sp macro="" textlink="">
      <xdr:nvSpPr>
        <xdr:cNvPr id="4" name="Rectangle 3">
          <a:extLst>
            <a:ext uri="{FF2B5EF4-FFF2-40B4-BE49-F238E27FC236}">
              <a16:creationId xmlns:a16="http://schemas.microsoft.com/office/drawing/2014/main" id="{733629E6-0C8B-22C5-4992-CBAF3D2B9778}"/>
            </a:ext>
          </a:extLst>
        </xdr:cNvPr>
        <xdr:cNvSpPr/>
      </xdr:nvSpPr>
      <xdr:spPr>
        <a:xfrm>
          <a:off x="523875" y="3362325"/>
          <a:ext cx="7010400" cy="1457325"/>
        </a:xfrm>
        <a:prstGeom prst="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r>
            <a:rPr lang="en-US" sz="1200" b="1">
              <a:latin typeface="Calibri" panose="020F0502020204030204" pitchFamily="34" charset="0"/>
              <a:cs typeface="Calibri" panose="020F0502020204030204" pitchFamily="34" charset="0"/>
            </a:rPr>
            <a:t>Why</a:t>
          </a:r>
          <a:r>
            <a:rPr lang="en-US" sz="1200" b="1" baseline="0">
              <a:latin typeface="Calibri" panose="020F0502020204030204" pitchFamily="34" charset="0"/>
              <a:cs typeface="Calibri" panose="020F0502020204030204" pitchFamily="34" charset="0"/>
            </a:rPr>
            <a:t> was 2022 the highest ?</a:t>
          </a:r>
          <a:endParaRPr lang="en-US" sz="1200">
            <a:latin typeface="Calibri" panose="020F0502020204030204" pitchFamily="34" charset="0"/>
            <a:cs typeface="Calibri" panose="020F0502020204030204" pitchFamily="34" charset="0"/>
          </a:endParaRPr>
        </a:p>
        <a:p>
          <a:r>
            <a:rPr lang="en-US" b="0">
              <a:latin typeface="Calibri" panose="020F0502020204030204" pitchFamily="34" charset="0"/>
              <a:cs typeface="Calibri" panose="020F0502020204030204" pitchFamily="34" charset="0"/>
            </a:rPr>
            <a:t>2022 recorded the highest average YoY CPI inflation at 6.62%. Inflation was driven largely by elevated global food and energy prices, supply-chain disruptions following the Russia–Ukraine war, and higher input costs. Global crude oil and commodity prices increased sharply, while adverse weather conditions also affected some domestic food prices. These pressures were reflected in India's food, fuel and core inflation. </a:t>
          </a:r>
        </a:p>
        <a:p>
          <a:endParaRPr lang="en-US" b="0">
            <a:latin typeface="Calibri" panose="020F0502020204030204" pitchFamily="34" charset="0"/>
            <a:cs typeface="Calibri" panose="020F0502020204030204" pitchFamily="34" charset="0"/>
          </a:endParaRPr>
        </a:p>
        <a:p>
          <a:r>
            <a:rPr lang="en-US" sz="1200" b="1">
              <a:latin typeface="Calibri" panose="020F0502020204030204" pitchFamily="34" charset="0"/>
              <a:cs typeface="Calibri" panose="020F0502020204030204" pitchFamily="34" charset="0"/>
            </a:rPr>
            <a:t>Source: </a:t>
          </a:r>
          <a:r>
            <a:rPr lang="en-US">
              <a:latin typeface="Calibri" panose="020F0502020204030204" pitchFamily="34" charset="0"/>
              <a:cs typeface="Calibri" panose="020F0502020204030204" pitchFamily="34" charset="0"/>
            </a:rPr>
            <a:t>Reserve Bank of India – Annual Report 2022–23</a:t>
          </a:r>
          <a:endParaRPr lang="en-US" b="0">
            <a:latin typeface="Calibri" panose="020F0502020204030204" pitchFamily="34" charset="0"/>
            <a:cs typeface="Calibri" panose="020F0502020204030204" pitchFamily="34" charset="0"/>
          </a:endParaRPr>
        </a:p>
        <a:p>
          <a:pPr algn="l"/>
          <a:endParaRPr lang="en-US" sz="1100"/>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5</xdr:col>
      <xdr:colOff>276224</xdr:colOff>
      <xdr:row>18</xdr:row>
      <xdr:rowOff>4762</xdr:rowOff>
    </xdr:from>
    <xdr:to>
      <xdr:col>8</xdr:col>
      <xdr:colOff>1133475</xdr:colOff>
      <xdr:row>32</xdr:row>
      <xdr:rowOff>61912</xdr:rowOff>
    </xdr:to>
    <xdr:graphicFrame macro="">
      <xdr:nvGraphicFramePr>
        <xdr:cNvPr id="2" name="Chart 1">
          <a:extLst>
            <a:ext uri="{FF2B5EF4-FFF2-40B4-BE49-F238E27FC236}">
              <a16:creationId xmlns:a16="http://schemas.microsoft.com/office/drawing/2014/main" id="{546CC9FA-0C64-4283-3D55-046B7207522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161925</xdr:colOff>
      <xdr:row>21</xdr:row>
      <xdr:rowOff>19050</xdr:rowOff>
    </xdr:from>
    <xdr:to>
      <xdr:col>5</xdr:col>
      <xdr:colOff>123825</xdr:colOff>
      <xdr:row>29</xdr:row>
      <xdr:rowOff>76200</xdr:rowOff>
    </xdr:to>
    <xdr:sp macro="" textlink="">
      <xdr:nvSpPr>
        <xdr:cNvPr id="3" name="Rectangle 2">
          <a:extLst>
            <a:ext uri="{FF2B5EF4-FFF2-40B4-BE49-F238E27FC236}">
              <a16:creationId xmlns:a16="http://schemas.microsoft.com/office/drawing/2014/main" id="{C5FB8504-4E37-D082-C958-628F1F90AD02}"/>
            </a:ext>
          </a:extLst>
        </xdr:cNvPr>
        <xdr:cNvSpPr/>
      </xdr:nvSpPr>
      <xdr:spPr>
        <a:xfrm>
          <a:off x="161925" y="4514850"/>
          <a:ext cx="5514975" cy="1581150"/>
        </a:xfrm>
        <a:prstGeom prst="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r>
            <a:rPr lang="en-US" sz="1200" b="1" u="none">
              <a:latin typeface="Calibri" panose="020F0502020204030204" pitchFamily="34" charset="0"/>
              <a:cs typeface="Calibri" panose="020F0502020204030204" pitchFamily="34" charset="0"/>
            </a:rPr>
            <a:t>Key Findings:</a:t>
          </a:r>
          <a:endParaRPr lang="en-US" sz="1200" u="none">
            <a:latin typeface="Calibri" panose="020F0502020204030204" pitchFamily="34" charset="0"/>
            <a:cs typeface="Calibri" panose="020F0502020204030204" pitchFamily="34" charset="0"/>
          </a:endParaRPr>
        </a:p>
        <a:p>
          <a:r>
            <a:rPr lang="en-US" b="1">
              <a:latin typeface="Calibri" panose="020F0502020204030204" pitchFamily="34" charset="0"/>
              <a:cs typeface="Calibri" panose="020F0502020204030204" pitchFamily="34" charset="0"/>
            </a:rPr>
            <a:t>* Highest MoM food inflation:</a:t>
          </a:r>
          <a:r>
            <a:rPr lang="en-US">
              <a:latin typeface="Calibri" panose="020F0502020204030204" pitchFamily="34" charset="0"/>
              <a:cs typeface="Calibri" panose="020F0502020204030204" pitchFamily="34" charset="0"/>
            </a:rPr>
            <a:t> October 2022 — </a:t>
          </a:r>
          <a:r>
            <a:rPr lang="en-US" b="1">
              <a:latin typeface="Calibri" panose="020F0502020204030204" pitchFamily="34" charset="0"/>
              <a:cs typeface="Calibri" panose="020F0502020204030204" pitchFamily="34" charset="0"/>
            </a:rPr>
            <a:t>+1.01%</a:t>
          </a:r>
          <a:endParaRPr lang="en-US">
            <a:latin typeface="Calibri" panose="020F0502020204030204" pitchFamily="34" charset="0"/>
            <a:cs typeface="Calibri" panose="020F0502020204030204" pitchFamily="34" charset="0"/>
          </a:endParaRPr>
        </a:p>
        <a:p>
          <a:r>
            <a:rPr lang="en-US" b="1">
              <a:latin typeface="Calibri" panose="020F0502020204030204" pitchFamily="34" charset="0"/>
              <a:cs typeface="Calibri" panose="020F0502020204030204" pitchFamily="34" charset="0"/>
            </a:rPr>
            <a:t>* Lowest MoM food inflation:</a:t>
          </a:r>
          <a:r>
            <a:rPr lang="en-US">
              <a:latin typeface="Calibri" panose="020F0502020204030204" pitchFamily="34" charset="0"/>
              <a:cs typeface="Calibri" panose="020F0502020204030204" pitchFamily="34" charset="0"/>
            </a:rPr>
            <a:t> December 2022 — </a:t>
          </a:r>
          <a:r>
            <a:rPr lang="en-US" b="1">
              <a:latin typeface="Calibri" panose="020F0502020204030204" pitchFamily="34" charset="0"/>
              <a:cs typeface="Calibri" panose="020F0502020204030204" pitchFamily="34" charset="0"/>
            </a:rPr>
            <a:t>−1.35%</a:t>
          </a:r>
          <a:endParaRPr lang="en-US">
            <a:latin typeface="Calibri" panose="020F0502020204030204" pitchFamily="34" charset="0"/>
            <a:cs typeface="Calibri" panose="020F0502020204030204" pitchFamily="34" charset="0"/>
          </a:endParaRPr>
        </a:p>
        <a:p>
          <a:r>
            <a:rPr lang="en-US" b="1">
              <a:latin typeface="Calibri" panose="020F0502020204030204" pitchFamily="34" charset="0"/>
              <a:cs typeface="Calibri" panose="020F0502020204030204" pitchFamily="34" charset="0"/>
            </a:rPr>
            <a:t>* Food CPI change from Jun-22 to May-23:</a:t>
          </a:r>
          <a:r>
            <a:rPr lang="en-US">
              <a:latin typeface="Calibri" panose="020F0502020204030204" pitchFamily="34" charset="0"/>
              <a:cs typeface="Calibri" panose="020F0502020204030204" pitchFamily="34" charset="0"/>
            </a:rPr>
            <a:t> </a:t>
          </a:r>
          <a:r>
            <a:rPr lang="en-US" b="1">
              <a:latin typeface="Calibri" panose="020F0502020204030204" pitchFamily="34" charset="0"/>
              <a:cs typeface="Calibri" panose="020F0502020204030204" pitchFamily="34" charset="0"/>
            </a:rPr>
            <a:t>+4.2 index points</a:t>
          </a:r>
          <a:r>
            <a:rPr lang="en-US">
              <a:latin typeface="Calibri" panose="020F0502020204030204" pitchFamily="34" charset="0"/>
              <a:cs typeface="Calibri" panose="020F0502020204030204" pitchFamily="34" charset="0"/>
            </a:rPr>
            <a:t> (174.9 → 179.1)</a:t>
          </a:r>
        </a:p>
        <a:p>
          <a:r>
            <a:rPr lang="en-US" b="1">
              <a:latin typeface="Calibri" panose="020F0502020204030204" pitchFamily="34" charset="0"/>
              <a:cs typeface="Calibri" panose="020F0502020204030204" pitchFamily="34" charset="0"/>
            </a:rPr>
            <a:t>* Highest individual food-category YoY increase:</a:t>
          </a:r>
          <a:r>
            <a:rPr lang="en-US">
              <a:latin typeface="Calibri" panose="020F0502020204030204" pitchFamily="34" charset="0"/>
              <a:cs typeface="Calibri" panose="020F0502020204030204" pitchFamily="34" charset="0"/>
            </a:rPr>
            <a:t> </a:t>
          </a:r>
          <a:r>
            <a:rPr lang="en-US" b="1">
              <a:latin typeface="Calibri" panose="020F0502020204030204" pitchFamily="34" charset="0"/>
              <a:cs typeface="Calibri" panose="020F0502020204030204" pitchFamily="34" charset="0"/>
            </a:rPr>
            <a:t>Spices — +17.90%</a:t>
          </a:r>
          <a:endParaRPr lang="en-US">
            <a:latin typeface="Calibri" panose="020F0502020204030204" pitchFamily="34" charset="0"/>
            <a:cs typeface="Calibri" panose="020F0502020204030204" pitchFamily="34" charset="0"/>
          </a:endParaRPr>
        </a:p>
        <a:p>
          <a:r>
            <a:rPr lang="en-US" b="1">
              <a:latin typeface="Calibri" panose="020F0502020204030204" pitchFamily="34" charset="0"/>
              <a:cs typeface="Calibri" panose="020F0502020204030204" pitchFamily="34" charset="0"/>
            </a:rPr>
            <a:t>* Second-highest:</a:t>
          </a:r>
          <a:r>
            <a:rPr lang="en-US">
              <a:latin typeface="Calibri" panose="020F0502020204030204" pitchFamily="34" charset="0"/>
              <a:cs typeface="Calibri" panose="020F0502020204030204" pitchFamily="34" charset="0"/>
            </a:rPr>
            <a:t> Cereals &amp; products — </a:t>
          </a:r>
          <a:r>
            <a:rPr lang="en-US" b="1">
              <a:latin typeface="Calibri" panose="020F0502020204030204" pitchFamily="34" charset="0"/>
              <a:cs typeface="Calibri" panose="020F0502020204030204" pitchFamily="34" charset="0"/>
            </a:rPr>
            <a:t>+12.72%</a:t>
          </a:r>
          <a:endParaRPr lang="en-US">
            <a:latin typeface="Calibri" panose="020F0502020204030204" pitchFamily="34" charset="0"/>
            <a:cs typeface="Calibri" panose="020F0502020204030204" pitchFamily="34" charset="0"/>
          </a:endParaRPr>
        </a:p>
        <a:p>
          <a:r>
            <a:rPr lang="en-US">
              <a:latin typeface="Calibri" panose="020F0502020204030204" pitchFamily="34" charset="0"/>
              <a:cs typeface="Calibri" panose="020F0502020204030204" pitchFamily="34" charset="0"/>
            </a:rPr>
            <a:t>* Categories such as </a:t>
          </a:r>
          <a:r>
            <a:rPr lang="en-US" b="1">
              <a:latin typeface="Calibri" panose="020F0502020204030204" pitchFamily="34" charset="0"/>
              <a:cs typeface="Calibri" panose="020F0502020204030204" pitchFamily="34" charset="0"/>
            </a:rPr>
            <a:t>Oils &amp; fats (−16.01%)</a:t>
          </a:r>
          <a:r>
            <a:rPr lang="en-US">
              <a:latin typeface="Calibri" panose="020F0502020204030204" pitchFamily="34" charset="0"/>
              <a:cs typeface="Calibri" panose="020F0502020204030204" pitchFamily="34" charset="0"/>
            </a:rPr>
            <a:t> and </a:t>
          </a:r>
          <a:r>
            <a:rPr lang="en-US" b="1">
              <a:latin typeface="Calibri" panose="020F0502020204030204" pitchFamily="34" charset="0"/>
              <a:cs typeface="Calibri" panose="020F0502020204030204" pitchFamily="34" charset="0"/>
            </a:rPr>
            <a:t>Vegetables (−7.95%)</a:t>
          </a:r>
          <a:r>
            <a:rPr lang="en-US">
              <a:latin typeface="Calibri" panose="020F0502020204030204" pitchFamily="34" charset="0"/>
              <a:cs typeface="Calibri" panose="020F0502020204030204" pitchFamily="34" charset="0"/>
            </a:rPr>
            <a:t> declined over the same          period.</a:t>
          </a:r>
        </a:p>
        <a:p>
          <a:pPr algn="l"/>
          <a:endParaRPr lang="en-US" sz="1100"/>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0</xdr:col>
      <xdr:colOff>304800</xdr:colOff>
      <xdr:row>16</xdr:row>
      <xdr:rowOff>4762</xdr:rowOff>
    </xdr:from>
    <xdr:to>
      <xdr:col>4</xdr:col>
      <xdr:colOff>295275</xdr:colOff>
      <xdr:row>30</xdr:row>
      <xdr:rowOff>80962</xdr:rowOff>
    </xdr:to>
    <xdr:graphicFrame macro="">
      <xdr:nvGraphicFramePr>
        <xdr:cNvPr id="2" name="Chart 1">
          <a:extLst>
            <a:ext uri="{FF2B5EF4-FFF2-40B4-BE49-F238E27FC236}">
              <a16:creationId xmlns:a16="http://schemas.microsoft.com/office/drawing/2014/main" id="{AB60E795-E5F4-9E60-9AA8-85278D85F7D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352425</xdr:colOff>
      <xdr:row>15</xdr:row>
      <xdr:rowOff>190499</xdr:rowOff>
    </xdr:from>
    <xdr:to>
      <xdr:col>11</xdr:col>
      <xdr:colOff>219075</xdr:colOff>
      <xdr:row>26</xdr:row>
      <xdr:rowOff>19050</xdr:rowOff>
    </xdr:to>
    <xdr:sp macro="" textlink="">
      <xdr:nvSpPr>
        <xdr:cNvPr id="3" name="Rectangle 2">
          <a:extLst>
            <a:ext uri="{FF2B5EF4-FFF2-40B4-BE49-F238E27FC236}">
              <a16:creationId xmlns:a16="http://schemas.microsoft.com/office/drawing/2014/main" id="{C11ADC57-9CB6-D8C4-740A-C9B756B10434}"/>
            </a:ext>
          </a:extLst>
        </xdr:cNvPr>
        <xdr:cNvSpPr/>
      </xdr:nvSpPr>
      <xdr:spPr>
        <a:xfrm>
          <a:off x="4933950" y="3571874"/>
          <a:ext cx="6581775" cy="1924051"/>
        </a:xfrm>
        <a:prstGeom prst="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r>
            <a:rPr lang="en-US" sz="1200" b="1">
              <a:latin typeface="Calibri" panose="020F0502020204030204" pitchFamily="34" charset="0"/>
              <a:cs typeface="Calibri" panose="020F0502020204030204" pitchFamily="34" charset="0"/>
            </a:rPr>
            <a:t>Key Findings:</a:t>
          </a:r>
          <a:endParaRPr lang="en-US" sz="1200">
            <a:latin typeface="Calibri" panose="020F0502020204030204" pitchFamily="34" charset="0"/>
            <a:cs typeface="Calibri" panose="020F0502020204030204" pitchFamily="34" charset="0"/>
          </a:endParaRPr>
        </a:p>
        <a:p>
          <a:r>
            <a:rPr lang="en-US">
              <a:latin typeface="Calibri" panose="020F0502020204030204" pitchFamily="34" charset="0"/>
              <a:cs typeface="Calibri" panose="020F0502020204030204" pitchFamily="34" charset="0"/>
            </a:rPr>
            <a:t>• </a:t>
          </a:r>
          <a:r>
            <a:rPr lang="en-US" b="1">
              <a:latin typeface="Calibri" panose="020F0502020204030204" pitchFamily="34" charset="0"/>
              <a:cs typeface="Calibri" panose="020F0502020204030204" pitchFamily="34" charset="0"/>
            </a:rPr>
            <a:t>Food CPI increased by 6.97%</a:t>
          </a:r>
          <a:r>
            <a:rPr lang="en-US">
              <a:latin typeface="Calibri" panose="020F0502020204030204" pitchFamily="34" charset="0"/>
              <a:cs typeface="Calibri" panose="020F0502020204030204" pitchFamily="34" charset="0"/>
            </a:rPr>
            <a:t> in the post-COVID period compared with the pre-COVID period, showing the largest increase among the three major categories analyzed. </a:t>
          </a:r>
        </a:p>
        <a:p>
          <a:r>
            <a:rPr lang="en-US">
              <a:latin typeface="Calibri" panose="020F0502020204030204" pitchFamily="34" charset="0"/>
              <a:cs typeface="Calibri" panose="020F0502020204030204" pitchFamily="34" charset="0"/>
            </a:rPr>
            <a:t>• </a:t>
          </a:r>
          <a:r>
            <a:rPr lang="en-US" b="1">
              <a:latin typeface="Calibri" panose="020F0502020204030204" pitchFamily="34" charset="0"/>
              <a:cs typeface="Calibri" panose="020F0502020204030204" pitchFamily="34" charset="0"/>
            </a:rPr>
            <a:t>Health CPI increased by 4.66%</a:t>
          </a:r>
          <a:r>
            <a:rPr lang="en-US">
              <a:latin typeface="Calibri" panose="020F0502020204030204" pitchFamily="34" charset="0"/>
              <a:cs typeface="Calibri" panose="020F0502020204030204" pitchFamily="34" charset="0"/>
            </a:rPr>
            <a:t>, indicating a moderate rise in healthcare-related CPI after the onset of COVID-19. </a:t>
          </a:r>
        </a:p>
        <a:p>
          <a:r>
            <a:rPr lang="en-US">
              <a:latin typeface="Calibri" panose="020F0502020204030204" pitchFamily="34" charset="0"/>
              <a:cs typeface="Calibri" panose="020F0502020204030204" pitchFamily="34" charset="0"/>
            </a:rPr>
            <a:t>• </a:t>
          </a:r>
          <a:r>
            <a:rPr lang="en-US" b="1">
              <a:latin typeface="Calibri" panose="020F0502020204030204" pitchFamily="34" charset="0"/>
              <a:cs typeface="Calibri" panose="020F0502020204030204" pitchFamily="34" charset="0"/>
            </a:rPr>
            <a:t>Essential Services CPI increased by 4.57%</a:t>
          </a:r>
          <a:r>
            <a:rPr lang="en-US">
              <a:latin typeface="Calibri" panose="020F0502020204030204" pitchFamily="34" charset="0"/>
              <a:cs typeface="Calibri" panose="020F0502020204030204" pitchFamily="34" charset="0"/>
            </a:rPr>
            <a:t> overall. </a:t>
          </a:r>
        </a:p>
        <a:p>
          <a:r>
            <a:rPr lang="en-US">
              <a:latin typeface="Calibri" panose="020F0502020204030204" pitchFamily="34" charset="0"/>
              <a:cs typeface="Calibri" panose="020F0502020204030204" pitchFamily="34" charset="0"/>
            </a:rPr>
            <a:t>• Among the individual essential-service components, </a:t>
          </a:r>
          <a:r>
            <a:rPr lang="en-US" b="1">
              <a:latin typeface="Calibri" panose="020F0502020204030204" pitchFamily="34" charset="0"/>
              <a:cs typeface="Calibri" panose="020F0502020204030204" pitchFamily="34" charset="0"/>
            </a:rPr>
            <a:t>Transport &amp; Communication recorded the highest increase at 9.31%</a:t>
          </a:r>
          <a:r>
            <a:rPr lang="en-US">
              <a:latin typeface="Calibri" panose="020F0502020204030204" pitchFamily="34" charset="0"/>
              <a:cs typeface="Calibri" panose="020F0502020204030204" pitchFamily="34" charset="0"/>
            </a:rPr>
            <a:t>, compared with 2.51% for Household Goods &amp; Services and 2.42% for Fuel &amp; Light. </a:t>
          </a:r>
        </a:p>
        <a:p>
          <a:r>
            <a:rPr lang="en-US">
              <a:latin typeface="Calibri" panose="020F0502020204030204" pitchFamily="34" charset="0"/>
              <a:cs typeface="Calibri" panose="020F0502020204030204" pitchFamily="34" charset="0"/>
            </a:rPr>
            <a:t>• Overall, the analysis indicates that </a:t>
          </a:r>
          <a:r>
            <a:rPr lang="en-US" b="1">
              <a:latin typeface="Calibri" panose="020F0502020204030204" pitchFamily="34" charset="0"/>
              <a:cs typeface="Calibri" panose="020F0502020204030204" pitchFamily="34" charset="0"/>
            </a:rPr>
            <a:t>food prices experienced the strongest increase in the post-COVID period</a:t>
          </a:r>
          <a:r>
            <a:rPr lang="en-US">
              <a:latin typeface="Calibri" panose="020F0502020204030204" pitchFamily="34" charset="0"/>
              <a:cs typeface="Calibri" panose="020F0502020204030204" pitchFamily="34" charset="0"/>
            </a:rPr>
            <a:t>, while healthcare and essential services also showed upward movement.</a:t>
          </a:r>
        </a:p>
        <a:p>
          <a:pPr algn="l"/>
          <a:endParaRPr lang="en-US" sz="1100"/>
        </a:p>
      </xdr:txBody>
    </xdr:sp>
    <xdr:clientData/>
  </xdr:twoCellAnchor>
  <xdr:twoCellAnchor>
    <xdr:from>
      <xdr:col>4</xdr:col>
      <xdr:colOff>590550</xdr:colOff>
      <xdr:row>27</xdr:row>
      <xdr:rowOff>0</xdr:rowOff>
    </xdr:from>
    <xdr:to>
      <xdr:col>10</xdr:col>
      <xdr:colOff>276225</xdr:colOff>
      <xdr:row>29</xdr:row>
      <xdr:rowOff>161925</xdr:rowOff>
    </xdr:to>
    <xdr:sp macro="" textlink="">
      <xdr:nvSpPr>
        <xdr:cNvPr id="4" name="Rectangle 3">
          <a:extLst>
            <a:ext uri="{FF2B5EF4-FFF2-40B4-BE49-F238E27FC236}">
              <a16:creationId xmlns:a16="http://schemas.microsoft.com/office/drawing/2014/main" id="{2481B805-0E5A-1ECA-5F6A-C5CD5280A55C}"/>
            </a:ext>
          </a:extLst>
        </xdr:cNvPr>
        <xdr:cNvSpPr/>
      </xdr:nvSpPr>
      <xdr:spPr>
        <a:xfrm>
          <a:off x="5172075" y="5667375"/>
          <a:ext cx="5791200" cy="542925"/>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US" sz="1200" b="1">
              <a:latin typeface="Calibri" panose="020F0502020204030204" pitchFamily="34" charset="0"/>
              <a:cs typeface="Calibri" panose="020F0502020204030204" pitchFamily="34" charset="0"/>
            </a:rPr>
            <a:t>Note:</a:t>
          </a:r>
          <a:r>
            <a:rPr lang="en-US" sz="1200">
              <a:latin typeface="Calibri" panose="020F0502020204030204" pitchFamily="34" charset="0"/>
              <a:cs typeface="Calibri" panose="020F0502020204030204" pitchFamily="34" charset="0"/>
            </a:rPr>
            <a:t> </a:t>
          </a:r>
          <a:r>
            <a:rPr lang="en-US">
              <a:latin typeface="Calibri" panose="020F0502020204030204" pitchFamily="34" charset="0"/>
              <a:cs typeface="Calibri" panose="020F0502020204030204" pitchFamily="34" charset="0"/>
            </a:rPr>
            <a:t>Pre-COVID = Mar-2019 to Feb-2020; Post-COVID = Mar-2020 to Feb-2021. Sector: Rural + Urban. April 2019 data was unavailable in the source dataset.</a:t>
          </a:r>
          <a:endParaRPr lang="en-US" sz="1100">
            <a:latin typeface="Calibri" panose="020F0502020204030204" pitchFamily="34" charset="0"/>
            <a:cs typeface="Calibri" panose="020F0502020204030204" pitchFamily="34" charset="0"/>
          </a:endParaRPr>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3</xdr:col>
      <xdr:colOff>333375</xdr:colOff>
      <xdr:row>15</xdr:row>
      <xdr:rowOff>90486</xdr:rowOff>
    </xdr:from>
    <xdr:to>
      <xdr:col>7</xdr:col>
      <xdr:colOff>647700</xdr:colOff>
      <xdr:row>33</xdr:row>
      <xdr:rowOff>38100</xdr:rowOff>
    </xdr:to>
    <xdr:graphicFrame macro="">
      <xdr:nvGraphicFramePr>
        <xdr:cNvPr id="2" name="Chart 1">
          <a:extLst>
            <a:ext uri="{FF2B5EF4-FFF2-40B4-BE49-F238E27FC236}">
              <a16:creationId xmlns:a16="http://schemas.microsoft.com/office/drawing/2014/main" id="{FF713E4C-503C-7739-3A2A-6DF3F39895E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114300</xdr:colOff>
      <xdr:row>5</xdr:row>
      <xdr:rowOff>19049</xdr:rowOff>
    </xdr:from>
    <xdr:to>
      <xdr:col>11</xdr:col>
      <xdr:colOff>123825</xdr:colOff>
      <xdr:row>10</xdr:row>
      <xdr:rowOff>57150</xdr:rowOff>
    </xdr:to>
    <xdr:sp macro="" textlink="">
      <xdr:nvSpPr>
        <xdr:cNvPr id="3" name="Rectangle 2">
          <a:extLst>
            <a:ext uri="{FF2B5EF4-FFF2-40B4-BE49-F238E27FC236}">
              <a16:creationId xmlns:a16="http://schemas.microsoft.com/office/drawing/2014/main" id="{C5928041-ADC4-DA93-86E9-F255B4923F86}"/>
            </a:ext>
          </a:extLst>
        </xdr:cNvPr>
        <xdr:cNvSpPr/>
      </xdr:nvSpPr>
      <xdr:spPr>
        <a:xfrm>
          <a:off x="7772400" y="1438274"/>
          <a:ext cx="5124450" cy="990601"/>
        </a:xfrm>
        <a:prstGeom prst="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r>
            <a:rPr lang="en-US" sz="1200" b="1">
              <a:latin typeface="Calibri" panose="020F0502020204030204" pitchFamily="34" charset="0"/>
              <a:cs typeface="Calibri" panose="020F0502020204030204" pitchFamily="34" charset="0"/>
            </a:rPr>
            <a:t>Key Finding:</a:t>
          </a:r>
          <a:endParaRPr lang="en-US" sz="1200">
            <a:latin typeface="Calibri" panose="020F0502020204030204" pitchFamily="34" charset="0"/>
            <a:cs typeface="Calibri" panose="020F0502020204030204" pitchFamily="34" charset="0"/>
          </a:endParaRPr>
        </a:p>
        <a:p>
          <a:r>
            <a:rPr lang="en-US" sz="1100" b="0">
              <a:latin typeface="Calibri" panose="020F0502020204030204" pitchFamily="34" charset="0"/>
              <a:cs typeface="Calibri" panose="020F0502020204030204" pitchFamily="34" charset="0"/>
            </a:rPr>
            <a:t>Fuel &amp; Light showed the strongest positive correlation with Oils &amp; Fats CPI monthly changes, with a correlation coefficient of 0.57, indicating a moderate positive relationship. Transport &amp; Communication (0.48) and Meat &amp; Fish (0.43) also showed moderate positive correlations.</a:t>
          </a:r>
        </a:p>
        <a:p>
          <a:pPr algn="l"/>
          <a:endParaRPr lang="en-US" sz="1100"/>
        </a:p>
      </xdr:txBody>
    </xdr:sp>
    <xdr:clientData/>
  </xdr:twoCellAnchor>
  <xdr:twoCellAnchor>
    <xdr:from>
      <xdr:col>6</xdr:col>
      <xdr:colOff>95250</xdr:colOff>
      <xdr:row>11</xdr:row>
      <xdr:rowOff>76200</xdr:rowOff>
    </xdr:from>
    <xdr:to>
      <xdr:col>11</xdr:col>
      <xdr:colOff>133350</xdr:colOff>
      <xdr:row>14</xdr:row>
      <xdr:rowOff>171450</xdr:rowOff>
    </xdr:to>
    <xdr:sp macro="" textlink="">
      <xdr:nvSpPr>
        <xdr:cNvPr id="4" name="Rectangle 3">
          <a:extLst>
            <a:ext uri="{FF2B5EF4-FFF2-40B4-BE49-F238E27FC236}">
              <a16:creationId xmlns:a16="http://schemas.microsoft.com/office/drawing/2014/main" id="{833E792F-5427-02AA-CCD5-FCE9E80EF8F1}"/>
            </a:ext>
          </a:extLst>
        </xdr:cNvPr>
        <xdr:cNvSpPr/>
      </xdr:nvSpPr>
      <xdr:spPr>
        <a:xfrm>
          <a:off x="7753350" y="2638425"/>
          <a:ext cx="5153025" cy="666750"/>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US" sz="1200" b="1">
              <a:latin typeface="Calibri" panose="020F0502020204030204" pitchFamily="34" charset="0"/>
              <a:cs typeface="Calibri" panose="020F0502020204030204" pitchFamily="34" charset="0"/>
            </a:rPr>
            <a:t>Note</a:t>
          </a:r>
          <a:r>
            <a:rPr lang="en-US" b="1">
              <a:latin typeface="Calibri" panose="020F0502020204030204" pitchFamily="34" charset="0"/>
              <a:cs typeface="Calibri" panose="020F0502020204030204" pitchFamily="34" charset="0"/>
            </a:rPr>
            <a:t>:</a:t>
          </a:r>
          <a:r>
            <a:rPr lang="en-US">
              <a:latin typeface="Calibri" panose="020F0502020204030204" pitchFamily="34" charset="0"/>
              <a:cs typeface="Calibri" panose="020F0502020204030204" pitchFamily="34" charset="0"/>
            </a:rPr>
            <a:t> </a:t>
          </a:r>
          <a:r>
            <a:rPr lang="en-US" b="0">
              <a:latin typeface="Calibri" panose="020F0502020204030204" pitchFamily="34" charset="0"/>
              <a:cs typeface="Calibri" panose="020F0502020204030204" pitchFamily="34" charset="0"/>
            </a:rPr>
            <a:t>Oils &amp; Fats CPI was used as an oil-related proxy because the provided dataset does not contain imported crude oil price data. Correlation was calculated using monthly percentage changes for the Rural + Urban sector.</a:t>
          </a:r>
          <a:endParaRPr lang="en-US" sz="1100" b="0">
            <a:latin typeface="Calibri" panose="020F0502020204030204" pitchFamily="34" charset="0"/>
            <a:cs typeface="Calibri" panose="020F0502020204030204" pitchFamily="34" charset="0"/>
          </a:endParaRPr>
        </a:p>
      </xdr:txBody>
    </xdr:sp>
    <xdr:clientData/>
  </xdr:twoCellAnchor>
</xdr:wsDr>
</file>

<file path=xl/drawings/drawing6.xml><?xml version="1.0" encoding="utf-8"?>
<xdr:wsDr xmlns:xdr="http://schemas.openxmlformats.org/drawingml/2006/spreadsheetDrawing" xmlns:a="http://schemas.openxmlformats.org/drawingml/2006/main">
  <xdr:twoCellAnchor>
    <xdr:from>
      <xdr:col>0</xdr:col>
      <xdr:colOff>176468</xdr:colOff>
      <xdr:row>3</xdr:row>
      <xdr:rowOff>101702</xdr:rowOff>
    </xdr:from>
    <xdr:to>
      <xdr:col>3</xdr:col>
      <xdr:colOff>147893</xdr:colOff>
      <xdr:row>7</xdr:row>
      <xdr:rowOff>30930</xdr:rowOff>
    </xdr:to>
    <xdr:sp macro="" textlink="">
      <xdr:nvSpPr>
        <xdr:cNvPr id="2" name="Rectangle 1">
          <a:extLst>
            <a:ext uri="{FF2B5EF4-FFF2-40B4-BE49-F238E27FC236}">
              <a16:creationId xmlns:a16="http://schemas.microsoft.com/office/drawing/2014/main" id="{9ACA83CD-8C21-6F38-E7A5-57E5CE1B3C61}"/>
            </a:ext>
          </a:extLst>
        </xdr:cNvPr>
        <xdr:cNvSpPr/>
      </xdr:nvSpPr>
      <xdr:spPr>
        <a:xfrm>
          <a:off x="176468" y="685492"/>
          <a:ext cx="1814973" cy="758825"/>
        </a:xfrm>
        <a:prstGeom prst="rect">
          <a:avLst/>
        </a:prstGeom>
      </xdr:spPr>
      <xdr:style>
        <a:lnRef idx="3">
          <a:schemeClr val="lt1"/>
        </a:lnRef>
        <a:fillRef idx="1">
          <a:schemeClr val="accent1"/>
        </a:fillRef>
        <a:effectRef idx="1">
          <a:schemeClr val="accent1"/>
        </a:effectRef>
        <a:fontRef idx="minor">
          <a:schemeClr val="lt1"/>
        </a:fontRef>
      </xdr:style>
      <xdr:txBody>
        <a:bodyPr vertOverflow="clip" horzOverflow="clip" rtlCol="0" anchor="t"/>
        <a:lstStyle/>
        <a:p>
          <a:pPr algn="ctr"/>
          <a:r>
            <a:rPr lang="en-US" sz="1600" b="1">
              <a:latin typeface="Calibri" panose="020F0502020204030204" pitchFamily="34" charset="0"/>
              <a:cs typeface="Calibri" panose="020F0502020204030204" pitchFamily="34" charset="0"/>
            </a:rPr>
            <a:t>6.62%</a:t>
          </a:r>
        </a:p>
        <a:p>
          <a:pPr algn="ctr"/>
          <a:r>
            <a:rPr lang="en-US" sz="1100" b="1">
              <a:latin typeface="Calibri" panose="020F0502020204030204" pitchFamily="34" charset="0"/>
              <a:cs typeface="Calibri" panose="020F0502020204030204" pitchFamily="34" charset="0"/>
            </a:rPr>
            <a:t>Highest YoY Inflation</a:t>
          </a:r>
        </a:p>
        <a:p>
          <a:pPr algn="ctr"/>
          <a:r>
            <a:rPr lang="en-US" sz="1000" b="1">
              <a:latin typeface="Calibri" panose="020F0502020204030204" pitchFamily="34" charset="0"/>
              <a:cs typeface="Calibri" panose="020F0502020204030204" pitchFamily="34" charset="0"/>
            </a:rPr>
            <a:t>2022</a:t>
          </a:r>
        </a:p>
      </xdr:txBody>
    </xdr:sp>
    <xdr:clientData/>
  </xdr:twoCellAnchor>
  <xdr:twoCellAnchor>
    <xdr:from>
      <xdr:col>4</xdr:col>
      <xdr:colOff>286978</xdr:colOff>
      <xdr:row>3</xdr:row>
      <xdr:rowOff>112661</xdr:rowOff>
    </xdr:from>
    <xdr:to>
      <xdr:col>7</xdr:col>
      <xdr:colOff>258404</xdr:colOff>
      <xdr:row>7</xdr:row>
      <xdr:rowOff>41889</xdr:rowOff>
    </xdr:to>
    <xdr:sp macro="" textlink="">
      <xdr:nvSpPr>
        <xdr:cNvPr id="3" name="Rectangle 2">
          <a:extLst>
            <a:ext uri="{FF2B5EF4-FFF2-40B4-BE49-F238E27FC236}">
              <a16:creationId xmlns:a16="http://schemas.microsoft.com/office/drawing/2014/main" id="{282168AA-683E-40E6-80B4-CA0D218368BF}"/>
            </a:ext>
          </a:extLst>
        </xdr:cNvPr>
        <xdr:cNvSpPr/>
      </xdr:nvSpPr>
      <xdr:spPr>
        <a:xfrm>
          <a:off x="2745043" y="696451"/>
          <a:ext cx="1814974" cy="758825"/>
        </a:xfrm>
        <a:prstGeom prst="rect">
          <a:avLst/>
        </a:prstGeom>
      </xdr:spPr>
      <xdr:style>
        <a:lnRef idx="3">
          <a:schemeClr val="lt1"/>
        </a:lnRef>
        <a:fillRef idx="1">
          <a:schemeClr val="accent6"/>
        </a:fillRef>
        <a:effectRef idx="1">
          <a:schemeClr val="accent6"/>
        </a:effectRef>
        <a:fontRef idx="minor">
          <a:schemeClr val="lt1"/>
        </a:fontRef>
      </xdr:style>
      <xdr:txBody>
        <a:bodyPr vertOverflow="clip" horzOverflow="clip" rtlCol="0" anchor="t"/>
        <a:lstStyle/>
        <a:p>
          <a:pPr algn="ctr"/>
          <a:r>
            <a:rPr lang="en-US" sz="1600" b="1">
              <a:latin typeface="Calibri" panose="020F0502020204030204" pitchFamily="34" charset="0"/>
              <a:cs typeface="Calibri" panose="020F0502020204030204" pitchFamily="34" charset="0"/>
            </a:rPr>
            <a:t>+1.01%</a:t>
          </a:r>
        </a:p>
        <a:p>
          <a:pPr algn="ctr"/>
          <a:r>
            <a:rPr lang="en-US" sz="1100" b="1">
              <a:latin typeface="Calibri" panose="020F0502020204030204" pitchFamily="34" charset="0"/>
              <a:cs typeface="Calibri" panose="020F0502020204030204" pitchFamily="34" charset="0"/>
            </a:rPr>
            <a:t>Highest</a:t>
          </a:r>
          <a:r>
            <a:rPr lang="en-US" sz="1100" b="1" baseline="0">
              <a:latin typeface="Calibri" panose="020F0502020204030204" pitchFamily="34" charset="0"/>
              <a:cs typeface="Calibri" panose="020F0502020204030204" pitchFamily="34" charset="0"/>
            </a:rPr>
            <a:t> Food MoM</a:t>
          </a:r>
          <a:endParaRPr lang="en-US" sz="1100" b="1">
            <a:latin typeface="Calibri" panose="020F0502020204030204" pitchFamily="34" charset="0"/>
            <a:cs typeface="Calibri" panose="020F0502020204030204" pitchFamily="34" charset="0"/>
          </a:endParaRPr>
        </a:p>
        <a:p>
          <a:pPr algn="ctr"/>
          <a:r>
            <a:rPr lang="en-US" sz="1000" b="1">
              <a:latin typeface="Calibri" panose="020F0502020204030204" pitchFamily="34" charset="0"/>
              <a:cs typeface="Calibri" panose="020F0502020204030204" pitchFamily="34" charset="0"/>
            </a:rPr>
            <a:t>Oct-22</a:t>
          </a:r>
        </a:p>
      </xdr:txBody>
    </xdr:sp>
    <xdr:clientData/>
  </xdr:twoCellAnchor>
  <xdr:twoCellAnchor>
    <xdr:from>
      <xdr:col>8</xdr:col>
      <xdr:colOff>397490</xdr:colOff>
      <xdr:row>3</xdr:row>
      <xdr:rowOff>122903</xdr:rowOff>
    </xdr:from>
    <xdr:to>
      <xdr:col>11</xdr:col>
      <xdr:colOff>368915</xdr:colOff>
      <xdr:row>7</xdr:row>
      <xdr:rowOff>52131</xdr:rowOff>
    </xdr:to>
    <xdr:sp macro="" textlink="">
      <xdr:nvSpPr>
        <xdr:cNvPr id="4" name="Rectangle 3">
          <a:extLst>
            <a:ext uri="{FF2B5EF4-FFF2-40B4-BE49-F238E27FC236}">
              <a16:creationId xmlns:a16="http://schemas.microsoft.com/office/drawing/2014/main" id="{9467E4C7-32AD-456E-8A74-378B602EF92B}"/>
            </a:ext>
          </a:extLst>
        </xdr:cNvPr>
        <xdr:cNvSpPr/>
      </xdr:nvSpPr>
      <xdr:spPr>
        <a:xfrm>
          <a:off x="5313619" y="706693"/>
          <a:ext cx="1814973" cy="758825"/>
        </a:xfrm>
        <a:prstGeom prst="rect">
          <a:avLst/>
        </a:prstGeom>
        <a:solidFill>
          <a:srgbClr val="C00000"/>
        </a:solidFill>
      </xdr:spPr>
      <xdr:style>
        <a:lnRef idx="2">
          <a:schemeClr val="accent2">
            <a:shade val="15000"/>
          </a:schemeClr>
        </a:lnRef>
        <a:fillRef idx="1">
          <a:schemeClr val="accent2"/>
        </a:fillRef>
        <a:effectRef idx="0">
          <a:schemeClr val="accent2"/>
        </a:effectRef>
        <a:fontRef idx="minor">
          <a:schemeClr val="lt1"/>
        </a:fontRef>
      </xdr:style>
      <xdr:txBody>
        <a:bodyPr vertOverflow="clip" horzOverflow="clip" rtlCol="0" anchor="t"/>
        <a:lstStyle/>
        <a:p>
          <a:pPr algn="ctr"/>
          <a:r>
            <a:rPr lang="en-US" sz="1600" b="1">
              <a:latin typeface="Calibri" panose="020F0502020204030204" pitchFamily="34" charset="0"/>
              <a:cs typeface="Calibri" panose="020F0502020204030204" pitchFamily="34" charset="0"/>
            </a:rPr>
            <a:t>-1.35%</a:t>
          </a:r>
        </a:p>
        <a:p>
          <a:pPr algn="ctr"/>
          <a:r>
            <a:rPr lang="en-US" sz="1100" b="1">
              <a:latin typeface="Calibri" panose="020F0502020204030204" pitchFamily="34" charset="0"/>
              <a:cs typeface="Calibri" panose="020F0502020204030204" pitchFamily="34" charset="0"/>
            </a:rPr>
            <a:t>Lowest</a:t>
          </a:r>
          <a:r>
            <a:rPr lang="en-US" sz="1100" b="1" baseline="0">
              <a:latin typeface="Calibri" panose="020F0502020204030204" pitchFamily="34" charset="0"/>
              <a:cs typeface="Calibri" panose="020F0502020204030204" pitchFamily="34" charset="0"/>
            </a:rPr>
            <a:t> Food MoM</a:t>
          </a:r>
          <a:endParaRPr lang="en-US" sz="1100" b="1">
            <a:latin typeface="Calibri" panose="020F0502020204030204" pitchFamily="34" charset="0"/>
            <a:cs typeface="Calibri" panose="020F0502020204030204" pitchFamily="34" charset="0"/>
          </a:endParaRPr>
        </a:p>
        <a:p>
          <a:pPr algn="ctr"/>
          <a:r>
            <a:rPr lang="en-US" sz="1000" b="1">
              <a:latin typeface="Calibri" panose="020F0502020204030204" pitchFamily="34" charset="0"/>
              <a:cs typeface="Calibri" panose="020F0502020204030204" pitchFamily="34" charset="0"/>
            </a:rPr>
            <a:t>Dec-22</a:t>
          </a:r>
        </a:p>
      </xdr:txBody>
    </xdr:sp>
    <xdr:clientData/>
  </xdr:twoCellAnchor>
  <xdr:twoCellAnchor>
    <xdr:from>
      <xdr:col>12</xdr:col>
      <xdr:colOff>486798</xdr:colOff>
      <xdr:row>3</xdr:row>
      <xdr:rowOff>130484</xdr:rowOff>
    </xdr:from>
    <xdr:to>
      <xdr:col>16</xdr:col>
      <xdr:colOff>15158</xdr:colOff>
      <xdr:row>7</xdr:row>
      <xdr:rowOff>111434</xdr:rowOff>
    </xdr:to>
    <xdr:sp macro="" textlink="">
      <xdr:nvSpPr>
        <xdr:cNvPr id="5" name="Rectangle 4">
          <a:extLst>
            <a:ext uri="{FF2B5EF4-FFF2-40B4-BE49-F238E27FC236}">
              <a16:creationId xmlns:a16="http://schemas.microsoft.com/office/drawing/2014/main" id="{7BE4F598-5CF2-4726-A868-F74101426B27}"/>
            </a:ext>
          </a:extLst>
        </xdr:cNvPr>
        <xdr:cNvSpPr/>
      </xdr:nvSpPr>
      <xdr:spPr>
        <a:xfrm>
          <a:off x="7860992" y="714274"/>
          <a:ext cx="1986424" cy="810547"/>
        </a:xfrm>
        <a:prstGeom prst="rect">
          <a:avLst/>
        </a:prstGeom>
        <a:solidFill>
          <a:srgbClr val="7030A0"/>
        </a:solidFill>
      </xdr:spPr>
      <xdr:style>
        <a:lnRef idx="3">
          <a:schemeClr val="lt1"/>
        </a:lnRef>
        <a:fillRef idx="1">
          <a:schemeClr val="accent1"/>
        </a:fillRef>
        <a:effectRef idx="1">
          <a:schemeClr val="accent1"/>
        </a:effectRef>
        <a:fontRef idx="minor">
          <a:schemeClr val="lt1"/>
        </a:fontRef>
      </xdr:style>
      <xdr:txBody>
        <a:bodyPr vertOverflow="clip" horzOverflow="clip" rtlCol="0" anchor="t"/>
        <a:lstStyle/>
        <a:p>
          <a:pPr algn="ctr"/>
          <a:r>
            <a:rPr lang="en-US" sz="1600" b="1">
              <a:latin typeface="Calibri" panose="020F0502020204030204" pitchFamily="34" charset="0"/>
              <a:cs typeface="Calibri" panose="020F0502020204030204" pitchFamily="34" charset="0"/>
            </a:rPr>
            <a:t>0.57</a:t>
          </a:r>
        </a:p>
        <a:p>
          <a:pPr algn="ctr"/>
          <a:r>
            <a:rPr lang="en-US" sz="1100" b="1">
              <a:latin typeface="Calibri" panose="020F0502020204030204" pitchFamily="34" charset="0"/>
              <a:cs typeface="Calibri" panose="020F0502020204030204" pitchFamily="34" charset="0"/>
            </a:rPr>
            <a:t>Strongest</a:t>
          </a:r>
          <a:r>
            <a:rPr lang="en-US" sz="1100" b="1" baseline="0">
              <a:latin typeface="Calibri" panose="020F0502020204030204" pitchFamily="34" charset="0"/>
              <a:cs typeface="Calibri" panose="020F0502020204030204" pitchFamily="34" charset="0"/>
            </a:rPr>
            <a:t> Positive Correlation</a:t>
          </a:r>
          <a:endParaRPr lang="en-US" sz="1100" b="1">
            <a:latin typeface="Calibri" panose="020F0502020204030204" pitchFamily="34" charset="0"/>
            <a:cs typeface="Calibri" panose="020F0502020204030204" pitchFamily="34" charset="0"/>
          </a:endParaRPr>
        </a:p>
        <a:p>
          <a:pPr algn="ctr"/>
          <a:r>
            <a:rPr lang="en-US" sz="1000" b="1">
              <a:latin typeface="Calibri" panose="020F0502020204030204" pitchFamily="34" charset="0"/>
              <a:cs typeface="Calibri" panose="020F0502020204030204" pitchFamily="34" charset="0"/>
            </a:rPr>
            <a:t>Fuel</a:t>
          </a:r>
          <a:r>
            <a:rPr lang="en-US" sz="1000" b="1" baseline="0">
              <a:latin typeface="Calibri" panose="020F0502020204030204" pitchFamily="34" charset="0"/>
              <a:cs typeface="Calibri" panose="020F0502020204030204" pitchFamily="34" charset="0"/>
            </a:rPr>
            <a:t> &amp; Light</a:t>
          </a:r>
          <a:endParaRPr lang="en-US" sz="1000" b="1">
            <a:latin typeface="Calibri" panose="020F0502020204030204" pitchFamily="34" charset="0"/>
            <a:cs typeface="Calibri" panose="020F0502020204030204" pitchFamily="34" charset="0"/>
          </a:endParaRPr>
        </a:p>
      </xdr:txBody>
    </xdr:sp>
    <xdr:clientData/>
  </xdr:twoCellAnchor>
  <xdr:twoCellAnchor>
    <xdr:from>
      <xdr:col>8</xdr:col>
      <xdr:colOff>440403</xdr:colOff>
      <xdr:row>7</xdr:row>
      <xdr:rowOff>152196</xdr:rowOff>
    </xdr:from>
    <xdr:to>
      <xdr:col>16</xdr:col>
      <xdr:colOff>130687</xdr:colOff>
      <xdr:row>20</xdr:row>
      <xdr:rowOff>5224</xdr:rowOff>
    </xdr:to>
    <xdr:graphicFrame macro="">
      <xdr:nvGraphicFramePr>
        <xdr:cNvPr id="11" name="Chart 10">
          <a:extLst>
            <a:ext uri="{FF2B5EF4-FFF2-40B4-BE49-F238E27FC236}">
              <a16:creationId xmlns:a16="http://schemas.microsoft.com/office/drawing/2014/main" id="{A2F5DF90-55CC-4FFF-9441-84FDBDA6ECA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112559</xdr:colOff>
      <xdr:row>7</xdr:row>
      <xdr:rowOff>132427</xdr:rowOff>
    </xdr:from>
    <xdr:to>
      <xdr:col>7</xdr:col>
      <xdr:colOff>422275</xdr:colOff>
      <xdr:row>20</xdr:row>
      <xdr:rowOff>42605</xdr:rowOff>
    </xdr:to>
    <xdr:graphicFrame macro="">
      <xdr:nvGraphicFramePr>
        <xdr:cNvPr id="12" name="Chart 11">
          <a:extLst>
            <a:ext uri="{FF2B5EF4-FFF2-40B4-BE49-F238E27FC236}">
              <a16:creationId xmlns:a16="http://schemas.microsoft.com/office/drawing/2014/main" id="{F763D257-72DD-453A-AB82-2E24119C102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8</xdr:col>
      <xdr:colOff>450645</xdr:colOff>
      <xdr:row>20</xdr:row>
      <xdr:rowOff>102420</xdr:rowOff>
    </xdr:from>
    <xdr:to>
      <xdr:col>16</xdr:col>
      <xdr:colOff>106516</xdr:colOff>
      <xdr:row>33</xdr:row>
      <xdr:rowOff>61452</xdr:rowOff>
    </xdr:to>
    <xdr:graphicFrame macro="">
      <xdr:nvGraphicFramePr>
        <xdr:cNvPr id="7" name="Chart 6">
          <a:extLst>
            <a:ext uri="{FF2B5EF4-FFF2-40B4-BE49-F238E27FC236}">
              <a16:creationId xmlns:a16="http://schemas.microsoft.com/office/drawing/2014/main" id="{5F1F8E45-7E64-4861-8A7B-963075EB1E1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327741</xdr:colOff>
      <xdr:row>33</xdr:row>
      <xdr:rowOff>153630</xdr:rowOff>
    </xdr:from>
    <xdr:to>
      <xdr:col>16</xdr:col>
      <xdr:colOff>10241</xdr:colOff>
      <xdr:row>48</xdr:row>
      <xdr:rowOff>174113</xdr:rowOff>
    </xdr:to>
    <xdr:graphicFrame macro="">
      <xdr:nvGraphicFramePr>
        <xdr:cNvPr id="9" name="Chart 8">
          <a:extLst>
            <a:ext uri="{FF2B5EF4-FFF2-40B4-BE49-F238E27FC236}">
              <a16:creationId xmlns:a16="http://schemas.microsoft.com/office/drawing/2014/main" id="{18BCE24B-CF5C-4A3D-8281-54235C21DC0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133146</xdr:colOff>
      <xdr:row>20</xdr:row>
      <xdr:rowOff>153630</xdr:rowOff>
    </xdr:from>
    <xdr:to>
      <xdr:col>7</xdr:col>
      <xdr:colOff>471129</xdr:colOff>
      <xdr:row>33</xdr:row>
      <xdr:rowOff>40968</xdr:rowOff>
    </xdr:to>
    <xdr:graphicFrame macro="">
      <xdr:nvGraphicFramePr>
        <xdr:cNvPr id="10" name="Chart 9">
          <a:extLst>
            <a:ext uri="{FF2B5EF4-FFF2-40B4-BE49-F238E27FC236}">
              <a16:creationId xmlns:a16="http://schemas.microsoft.com/office/drawing/2014/main" id="{6A9C69CF-BEE1-42BD-8467-3350C50E6FD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6300.277426388886" createdVersion="8" refreshedVersion="8" minRefreshableVersion="3" recordCount="76" xr:uid="{3F0B5AB2-85AA-4F99-B34D-E8B0CF882F91}">
  <cacheSource type="worksheet">
    <worksheetSource ref="A2:E78" sheet="Q2_YoY_Trend"/>
  </cacheSource>
  <cacheFields count="5">
    <cacheField name="Date" numFmtId="164">
      <sharedItems containsSemiMixedTypes="0" containsNonDate="0" containsDate="1" containsString="0" minDate="2017-01-01T00:00:00" maxDate="2023-04-02T00:00:00"/>
    </cacheField>
    <cacheField name="Year" numFmtId="0">
      <sharedItems containsSemiMixedTypes="0" containsString="0" containsNumber="1" containsInteger="1" minValue="2017" maxValue="2023" count="7">
        <n v="2017"/>
        <n v="2018"/>
        <n v="2019"/>
        <n v="2020"/>
        <n v="2021"/>
        <n v="2022"/>
        <n v="2023"/>
      </sharedItems>
    </cacheField>
    <cacheField name="General CPI" numFmtId="0">
      <sharedItems containsMixedTypes="1" containsNumber="1" minValue="130.30000000000001" maxValue="178.1"/>
    </cacheField>
    <cacheField name="Previous Year CPI" numFmtId="0">
      <sharedItems containsMixedTypes="1" containsNumber="1" minValue="126" maxValue="170.1"/>
    </cacheField>
    <cacheField name="YoY Inflation %" numFmtId="2">
      <sharedItems containsMixedTypes="1" containsNumber="1" minValue="1.4604150653343626" maxValue="7.7946768060836389"/>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6301.951756134258" createdVersion="8" refreshedVersion="8" minRefreshableVersion="3" recordCount="372" xr:uid="{CF29E275-AE75-4371-8F84-65A98C663E32}">
  <cacheSource type="worksheet">
    <worksheetSource name="CPI_Data"/>
  </cacheSource>
  <cacheFields count="33">
    <cacheField name="Sector" numFmtId="0">
      <sharedItems count="3">
        <s v="Rural"/>
        <s v="Urban"/>
        <s v="Rural+Urban"/>
      </sharedItems>
    </cacheField>
    <cacheField name="Year" numFmtId="0">
      <sharedItems containsSemiMixedTypes="0" containsString="0" containsNumber="1" containsInteger="1" minValue="2013" maxValue="2023" count="11">
        <n v="2013"/>
        <n v="2014"/>
        <n v="2015"/>
        <n v="2016"/>
        <n v="2017"/>
        <n v="2018"/>
        <n v="2019"/>
        <n v="2020"/>
        <n v="2021"/>
        <n v="2022"/>
        <n v="2023"/>
      </sharedItems>
    </cacheField>
    <cacheField name="Month" numFmtId="14">
      <sharedItems count="13">
        <s v="January"/>
        <s v="February"/>
        <s v="March"/>
        <s v="April"/>
        <s v="May"/>
        <s v="June"/>
        <s v="July"/>
        <s v="August"/>
        <s v="September"/>
        <s v="October"/>
        <s v="November "/>
        <s v="November"/>
        <s v="December"/>
      </sharedItems>
    </cacheField>
    <cacheField name="Date" numFmtId="164">
      <sharedItems containsSemiMixedTypes="0" containsNonDate="0" containsDate="1" containsString="0" minDate="2013-01-01T00:00:00" maxDate="2023-05-02T00:00:00" count="125">
        <d v="2013-01-01T00:00:00"/>
        <d v="2013-02-01T00:00:00"/>
        <d v="2013-03-01T00:00:00"/>
        <d v="2013-04-01T00:00:00"/>
        <d v="2013-05-01T00:00:00"/>
        <d v="2013-06-01T00:00:00"/>
        <d v="2013-07-01T00:00:00"/>
        <d v="2013-08-01T00:00:00"/>
        <d v="2013-09-01T00:00:00"/>
        <d v="2013-10-01T00:00:00"/>
        <d v="2013-11-13T00:00:00"/>
        <d v="2013-11-01T00:00:00"/>
        <d v="2013-12-01T00:00:00"/>
        <d v="2014-01-01T00:00:00"/>
        <d v="2014-02-01T00:00:00"/>
        <d v="2014-03-01T00:00:00"/>
        <d v="2014-04-01T00:00:00"/>
        <d v="2014-05-01T00:00:00"/>
        <d v="2014-06-01T00:00:00"/>
        <d v="2014-07-01T00:00:00"/>
        <d v="2014-08-01T00:00:00"/>
        <d v="2014-09-01T00:00:00"/>
        <d v="2014-10-01T00:00:00"/>
        <d v="2014-11-01T00:00:00"/>
        <d v="2014-12-01T00:00:00"/>
        <d v="2015-01-01T00:00:00"/>
        <d v="2015-02-01T00:00:00"/>
        <d v="2015-03-01T00:00:00"/>
        <d v="2015-04-01T00:00:00"/>
        <d v="2015-05-01T00:00:00"/>
        <d v="2015-06-01T00:00:00"/>
        <d v="2015-07-01T00:00:00"/>
        <d v="2015-08-01T00:00:00"/>
        <d v="2015-09-01T00:00:00"/>
        <d v="2015-10-01T00:00:00"/>
        <d v="2015-11-01T00:00:00"/>
        <d v="2015-12-01T00:00:00"/>
        <d v="2016-01-01T00:00:00"/>
        <d v="2016-02-01T00:00:00"/>
        <d v="2016-03-01T00:00:00"/>
        <d v="2016-04-01T00:00:00"/>
        <d v="2016-05-01T00:00:00"/>
        <d v="2016-06-01T00:00:00"/>
        <d v="2016-07-01T00:00:00"/>
        <d v="2016-08-01T00:00:00"/>
        <d v="2016-09-01T00:00:00"/>
        <d v="2016-10-01T00:00:00"/>
        <d v="2016-11-01T00:00:00"/>
        <d v="2016-12-01T00:00:00"/>
        <d v="2017-01-01T00:00:00"/>
        <d v="2017-02-01T00:00:00"/>
        <d v="2017-03-01T00:00:00"/>
        <d v="2017-04-01T00:00:00"/>
        <d v="2017-05-01T00:00:00"/>
        <d v="2017-06-01T00:00:00"/>
        <d v="2017-07-01T00:00:00"/>
        <d v="2017-08-01T00:00:00"/>
        <d v="2017-09-01T00:00:00"/>
        <d v="2017-10-01T00:00:00"/>
        <d v="2017-11-01T00:00:00"/>
        <d v="2017-12-01T00:00:00"/>
        <d v="2018-01-01T00:00:00"/>
        <d v="2018-02-01T00:00:00"/>
        <d v="2018-03-01T00:00:00"/>
        <d v="2018-04-01T00:00:00"/>
        <d v="2018-05-01T00:00:00"/>
        <d v="2018-06-01T00:00:00"/>
        <d v="2018-07-01T00:00:00"/>
        <d v="2018-08-01T00:00:00"/>
        <d v="2018-09-01T00:00:00"/>
        <d v="2018-10-01T00:00:00"/>
        <d v="2018-11-01T00:00:00"/>
        <d v="2018-12-01T00:00:00"/>
        <d v="2019-01-01T00:00:00"/>
        <d v="2019-02-01T00:00:00"/>
        <d v="2019-03-01T00:00:00"/>
        <d v="2019-05-01T00:00:00"/>
        <d v="2019-06-01T00:00:00"/>
        <d v="2019-07-01T00:00:00"/>
        <d v="2019-08-01T00:00:00"/>
        <d v="2019-09-01T00:00:00"/>
        <d v="2019-10-01T00:00:00"/>
        <d v="2019-11-01T00:00:00"/>
        <d v="2019-12-01T00:00:00"/>
        <d v="2020-01-01T00:00:00"/>
        <d v="2020-02-01T00:00:00"/>
        <d v="2020-03-01T00:00:00"/>
        <d v="2020-04-01T00:00:00"/>
        <d v="2020-05-01T00:00:00"/>
        <d v="2020-06-01T00:00:00"/>
        <d v="2020-07-01T00:00:00"/>
        <d v="2020-08-01T00:00:00"/>
        <d v="2020-09-01T00:00:00"/>
        <d v="2020-10-01T00:00:00"/>
        <d v="2020-11-01T00:00:00"/>
        <d v="2020-12-01T00:00:00"/>
        <d v="2021-01-01T00:00:00"/>
        <d v="2021-02-01T00:00:00"/>
        <d v="2021-03-01T00:00:00"/>
        <d v="2021-04-01T00:00:00"/>
        <d v="2021-05-01T00:00:00"/>
        <d v="2021-06-01T00:00:00"/>
        <d v="2021-07-01T00:00:00"/>
        <d v="2021-08-01T00:00:00"/>
        <d v="2021-09-01T00:00:00"/>
        <d v="2021-10-01T00:00:00"/>
        <d v="2021-11-01T00:00:00"/>
        <d v="2021-12-01T00:00:00"/>
        <d v="2022-01-01T00:00:00"/>
        <d v="2022-02-01T00:00:00"/>
        <d v="2022-03-01T00:00:00"/>
        <d v="2022-04-01T00:00:00"/>
        <d v="2022-05-01T00:00:00"/>
        <d v="2022-06-01T00:00:00"/>
        <d v="2022-07-01T00:00:00"/>
        <d v="2022-08-01T00:00:00"/>
        <d v="2022-09-01T00:00:00"/>
        <d v="2022-10-01T00:00:00"/>
        <d v="2022-11-01T00:00:00"/>
        <d v="2022-12-01T00:00:00"/>
        <d v="2023-01-01T00:00:00"/>
        <d v="2023-02-01T00:00:00"/>
        <d v="2023-03-01T00:00:00"/>
        <d v="2023-04-01T00:00:00"/>
        <d v="2023-05-01T00:00:00"/>
      </sharedItems>
    </cacheField>
    <cacheField name="Cereals and products" numFmtId="0">
      <sharedItems containsMixedTypes="1" containsNumber="1" minValue="107.5" maxValue="174.8"/>
    </cacheField>
    <cacheField name="Meat and fish" numFmtId="0">
      <sharedItems containsMixedTypes="1" containsNumber="1" minValue="106.3" maxValue="223.4"/>
    </cacheField>
    <cacheField name="Egg" numFmtId="0">
      <sharedItems containsMixedTypes="1" containsNumber="1" minValue="102.7" maxValue="197"/>
    </cacheField>
    <cacheField name="Milk and products" numFmtId="0">
      <sharedItems containsMixedTypes="1" containsNumber="1" minValue="103.6" maxValue="179.6"/>
    </cacheField>
    <cacheField name="Oils and fats" numFmtId="0">
      <sharedItems containsMixedTypes="1" containsNumber="1" minValue="101.1" maxValue="209.9"/>
    </cacheField>
    <cacheField name="Fruits" numFmtId="0">
      <sharedItems containsMixedTypes="1" containsNumber="1" minValue="102.3" maxValue="179.5"/>
    </cacheField>
    <cacheField name="Vegetables" numFmtId="0">
      <sharedItems containsMixedTypes="1" containsNumber="1" minValue="101.4" maxValue="245.3"/>
    </cacheField>
    <cacheField name="Pulses and products" numFmtId="0">
      <sharedItems containsMixedTypes="1" containsNumber="1" minValue="103.5" maxValue="191.6"/>
    </cacheField>
    <cacheField name="Sugar and Confectionery" numFmtId="0">
      <sharedItems containsMixedTypes="1" containsNumber="1" minValue="85.3" maxValue="124.2"/>
    </cacheField>
    <cacheField name="Spices" numFmtId="0">
      <sharedItems containsMixedTypes="1" containsNumber="1" minValue="101.8" maxValue="221"/>
    </cacheField>
    <cacheField name="Non-alcoholic beverages" numFmtId="0">
      <sharedItems containsMixedTypes="1" containsNumber="1" minValue="104.8" maxValue="178.7"/>
    </cacheField>
    <cacheField name="Prepared meals, snacks, sweets etc." numFmtId="0">
      <sharedItems containsMixedTypes="1" containsNumber="1" minValue="106.7" maxValue="197.7"/>
    </cacheField>
    <cacheField name="Food and beverages" numFmtId="0">
      <sharedItems containsMixedTypes="1" containsNumber="1" minValue="105.5" maxValue="183.3"/>
    </cacheField>
    <cacheField name="Pan, tobacco and intoxicants" numFmtId="0">
      <sharedItems containsMixedTypes="1" containsNumber="1" minValue="105.1" maxValue="204.2"/>
    </cacheField>
    <cacheField name="Clothing" numFmtId="0">
      <sharedItems containsMixedTypes="1" containsNumber="1" minValue="105.9" maxValue="191.2"/>
    </cacheField>
    <cacheField name="Footwear" numFmtId="0">
      <sharedItems containsMixedTypes="1" containsNumber="1" minValue="105" maxValue="187.9"/>
    </cacheField>
    <cacheField name="Clothing and footwear" numFmtId="0">
      <sharedItems containsMixedTypes="1" containsNumber="1" minValue="105.8" maxValue="190.8"/>
    </cacheField>
    <cacheField name="Housing" numFmtId="0">
      <sharedItems containsMixedTypes="1" containsNumber="1" minValue="100.3" maxValue="175.6"/>
    </cacheField>
    <cacheField name="Fuel and light" numFmtId="0">
      <sharedItems containsMixedTypes="1" containsNumber="1" minValue="105.4" maxValue="183.4"/>
    </cacheField>
    <cacheField name="Household goods and services" numFmtId="0">
      <sharedItems containsMixedTypes="1" containsNumber="1" minValue="104.8" maxValue="179.8"/>
    </cacheField>
    <cacheField name="Health" numFmtId="0">
      <sharedItems containsMixedTypes="1" containsNumber="1" minValue="104" maxValue="187.8"/>
    </cacheField>
    <cacheField name="Transport and communication" numFmtId="0">
      <sharedItems containsMixedTypes="1" containsNumber="1" minValue="103.2" maxValue="169.7"/>
    </cacheField>
    <cacheField name="Recreation and amusement" numFmtId="0">
      <sharedItems containsMixedTypes="1" containsNumber="1" minValue="102.9" maxValue="173.8"/>
    </cacheField>
    <cacheField name="Education" numFmtId="0">
      <sharedItems containsMixedTypes="1" containsNumber="1" minValue="103.5" maxValue="180.3"/>
    </cacheField>
    <cacheField name="Personal care and effects" numFmtId="0">
      <sharedItems containsMixedTypes="1" containsNumber="1" minValue="102.1" maxValue="185.6"/>
    </cacheField>
    <cacheField name="Miscellaneous" numFmtId="0">
      <sharedItems containsMixedTypes="1" containsNumber="1" minValue="103.7" maxValue="179.5"/>
    </cacheField>
    <cacheField name="General index" numFmtId="0">
      <sharedItems containsMixedTypes="1" containsNumber="1" minValue="104" maxValue="179.8"/>
    </cacheField>
    <cacheField name="COVID Period" numFmtId="0">
      <sharedItems count="3">
        <s v=""/>
        <s v="Pre-COVID"/>
        <s v="Post-COVID"/>
      </sharedItems>
    </cacheField>
    <cacheField name="Essential Services" numFmtId="0" formula="('Household goods and services'+'Fuel and light'+'Transport and communication')/3" databaseField="0"/>
  </cacheFields>
  <extLst>
    <ext xmlns:x14="http://schemas.microsoft.com/office/spreadsheetml/2009/9/main" uri="{725AE2AE-9491-48be-B2B4-4EB974FC3084}">
      <x14:pivotCacheDefinition pivotCacheId="25144759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6">
  <r>
    <d v="2017-01-01T00:00:00"/>
    <x v="0"/>
    <n v="130.30000000000001"/>
    <n v="126.3"/>
    <n v="3.1670625494853639"/>
  </r>
  <r>
    <d v="2017-02-01T00:00:00"/>
    <x v="0"/>
    <n v="130.6"/>
    <n v="126"/>
    <n v="3.6507936507936463"/>
  </r>
  <r>
    <d v="2017-03-01T00:00:00"/>
    <x v="0"/>
    <n v="130.9"/>
    <n v="126"/>
    <n v="3.8888888888888933"/>
  </r>
  <r>
    <d v="2017-04-01T00:00:00"/>
    <x v="0"/>
    <n v="131.1"/>
    <n v="127.3"/>
    <n v="2.9850746268656696"/>
  </r>
  <r>
    <d v="2017-05-01T00:00:00"/>
    <x v="0"/>
    <n v="131.4"/>
    <n v="128.6"/>
    <n v="2.1772939346811913"/>
  </r>
  <r>
    <d v="2017-06-01T00:00:00"/>
    <x v="0"/>
    <n v="132"/>
    <n v="130.1"/>
    <n v="1.4604150653343626"/>
  </r>
  <r>
    <d v="2017-07-01T00:00:00"/>
    <x v="0"/>
    <n v="134.19999999999999"/>
    <n v="131.1"/>
    <n v="2.3646071700991569"/>
  </r>
  <r>
    <d v="2017-08-01T00:00:00"/>
    <x v="0"/>
    <n v="135.4"/>
    <n v="131.1"/>
    <n v="3.2799389778794903"/>
  </r>
  <r>
    <d v="2017-09-01T00:00:00"/>
    <x v="0"/>
    <n v="135.19999999999999"/>
    <n v="130.9"/>
    <n v="3.2849503437738599"/>
  </r>
  <r>
    <d v="2017-10-01T00:00:00"/>
    <x v="0"/>
    <n v="136.1"/>
    <n v="131.4"/>
    <n v="3.5768645357686371"/>
  </r>
  <r>
    <d v="2017-11-01T00:00:00"/>
    <x v="0"/>
    <n v="137.6"/>
    <n v="131.19999999999999"/>
    <n v="4.8780487804878101"/>
  </r>
  <r>
    <d v="2017-12-01T00:00:00"/>
    <x v="0"/>
    <n v="137.19999999999999"/>
    <n v="130.4"/>
    <n v="5.2147239263803549"/>
  </r>
  <r>
    <d v="2018-01-01T00:00:00"/>
    <x v="1"/>
    <n v="136.9"/>
    <n v="130.30000000000001"/>
    <n v="5.0652340752110465"/>
  </r>
  <r>
    <d v="2018-02-01T00:00:00"/>
    <x v="1"/>
    <n v="136.4"/>
    <n v="130.6"/>
    <n v="4.4410413476263493"/>
  </r>
  <r>
    <d v="2018-03-01T00:00:00"/>
    <x v="1"/>
    <n v="136.5"/>
    <n v="130.9"/>
    <n v="4.2780748663101562"/>
  </r>
  <r>
    <d v="2018-04-01T00:00:00"/>
    <x v="1"/>
    <n v="137.1"/>
    <n v="131.1"/>
    <n v="4.5766590389016022"/>
  </r>
  <r>
    <d v="2018-05-01T00:00:00"/>
    <x v="1"/>
    <n v="137.80000000000001"/>
    <n v="131.4"/>
    <n v="4.8706240487062447"/>
  </r>
  <r>
    <d v="2018-06-01T00:00:00"/>
    <x v="1"/>
    <n v="138.5"/>
    <n v="132"/>
    <n v="4.9242424242424239"/>
  </r>
  <r>
    <d v="2018-07-01T00:00:00"/>
    <x v="1"/>
    <n v="139.80000000000001"/>
    <n v="134.19999999999999"/>
    <n v="4.1728763040238617"/>
  </r>
  <r>
    <d v="2018-08-01T00:00:00"/>
    <x v="1"/>
    <n v="140.4"/>
    <n v="135.4"/>
    <n v="3.6927621861152145"/>
  </r>
  <r>
    <d v="2018-09-01T00:00:00"/>
    <x v="1"/>
    <n v="140.19999999999999"/>
    <n v="135.19999999999999"/>
    <n v="3.6982248520710059"/>
  </r>
  <r>
    <d v="2018-10-01T00:00:00"/>
    <x v="1"/>
    <n v="140.80000000000001"/>
    <n v="136.1"/>
    <n v="3.4533431300514459"/>
  </r>
  <r>
    <d v="2018-11-01T00:00:00"/>
    <x v="1"/>
    <n v="140.80000000000001"/>
    <n v="137.6"/>
    <n v="2.3255813953488498"/>
  </r>
  <r>
    <d v="2018-12-01T00:00:00"/>
    <x v="1"/>
    <n v="140.1"/>
    <n v="137.19999999999999"/>
    <n v="2.1137026239067098"/>
  </r>
  <r>
    <d v="2019-01-01T00:00:00"/>
    <x v="2"/>
    <n v="139.6"/>
    <n v="136.9"/>
    <n v="1.972242512783045"/>
  </r>
  <r>
    <d v="2019-02-01T00:00:00"/>
    <x v="2"/>
    <n v="139.9"/>
    <n v="136.4"/>
    <n v="2.5659824046920821"/>
  </r>
  <r>
    <d v="2019-03-01T00:00:00"/>
    <x v="2"/>
    <n v="140.4"/>
    <n v="136.5"/>
    <n v="2.8571428571428612"/>
  </r>
  <r>
    <d v="2019-04-01T00:00:00"/>
    <x v="2"/>
    <s v=""/>
    <n v="137.1"/>
    <s v=""/>
  </r>
  <r>
    <d v="2019-05-01T00:00:00"/>
    <x v="2"/>
    <n v="142"/>
    <n v="137.80000000000001"/>
    <n v="3.0478955007256809"/>
  </r>
  <r>
    <d v="2019-06-01T00:00:00"/>
    <x v="2"/>
    <n v="142.9"/>
    <n v="138.5"/>
    <n v="3.1768953068592101"/>
  </r>
  <r>
    <d v="2019-07-01T00:00:00"/>
    <x v="2"/>
    <n v="144.19999999999999"/>
    <n v="139.80000000000001"/>
    <n v="3.14735336194562"/>
  </r>
  <r>
    <d v="2019-08-01T00:00:00"/>
    <x v="2"/>
    <n v="145"/>
    <n v="140.4"/>
    <n v="3.2763532763532721"/>
  </r>
  <r>
    <d v="2019-09-01T00:00:00"/>
    <x v="2"/>
    <n v="145.80000000000001"/>
    <n v="140.19999999999999"/>
    <n v="3.9942938659058651"/>
  </r>
  <r>
    <d v="2019-10-01T00:00:00"/>
    <x v="2"/>
    <n v="147.19999999999999"/>
    <n v="140.80000000000001"/>
    <n v="4.545454545454529"/>
  </r>
  <r>
    <d v="2019-11-01T00:00:00"/>
    <x v="2"/>
    <n v="148.6"/>
    <n v="140.80000000000001"/>
    <n v="5.5397727272727151"/>
  </r>
  <r>
    <d v="2019-12-01T00:00:00"/>
    <x v="2"/>
    <n v="150.4"/>
    <n v="140.1"/>
    <n v="7.3518915060671031"/>
  </r>
  <r>
    <d v="2020-01-01T00:00:00"/>
    <x v="3"/>
    <n v="150.19999999999999"/>
    <n v="139.6"/>
    <n v="7.5931232091690504"/>
  </r>
  <r>
    <d v="2020-02-01T00:00:00"/>
    <x v="3"/>
    <n v="149.1"/>
    <n v="139.9"/>
    <n v="6.5761258041458106"/>
  </r>
  <r>
    <d v="2020-03-01T00:00:00"/>
    <x v="3"/>
    <n v="148.6"/>
    <n v="140.4"/>
    <n v="5.8404558404558315"/>
  </r>
  <r>
    <d v="2020-04-01T00:00:00"/>
    <x v="3"/>
    <s v="NA"/>
    <s v=" "/>
    <s v=""/>
  </r>
  <r>
    <d v="2020-05-01T00:00:00"/>
    <x v="3"/>
    <s v="NA"/>
    <n v="142"/>
    <s v=""/>
  </r>
  <r>
    <d v="2020-06-01T00:00:00"/>
    <x v="3"/>
    <n v="151.80000000000001"/>
    <n v="142.9"/>
    <n v="6.2281315605318444"/>
  </r>
  <r>
    <d v="2020-07-01T00:00:00"/>
    <x v="3"/>
    <n v="151.80000000000001"/>
    <n v="144.19999999999999"/>
    <n v="5.27045769764218"/>
  </r>
  <r>
    <d v="2020-08-01T00:00:00"/>
    <x v="3"/>
    <n v="153.9"/>
    <n v="145"/>
    <n v="6.1379310344827624"/>
  </r>
  <r>
    <d v="2020-09-01T00:00:00"/>
    <x v="3"/>
    <n v="154.69999999999999"/>
    <n v="145.80000000000001"/>
    <n v="6.1042524005486802"/>
  </r>
  <r>
    <d v="2020-10-01T00:00:00"/>
    <x v="3"/>
    <n v="156.4"/>
    <n v="147.19999999999999"/>
    <n v="6.2500000000000124"/>
  </r>
  <r>
    <d v="2020-11-01T00:00:00"/>
    <x v="3"/>
    <n v="158.4"/>
    <n v="148.6"/>
    <n v="6.594885598923292"/>
  </r>
  <r>
    <d v="2020-12-01T00:00:00"/>
    <x v="3"/>
    <n v="158.9"/>
    <n v="150.4"/>
    <n v="5.6515957446808507"/>
  </r>
  <r>
    <d v="2021-01-01T00:00:00"/>
    <x v="4"/>
    <n v="157.30000000000001"/>
    <n v="150.19999999999999"/>
    <n v="4.7270306258322385"/>
  </r>
  <r>
    <d v="2021-02-01T00:00:00"/>
    <x v="4"/>
    <n v="156.6"/>
    <n v="149.1"/>
    <n v="5.0301810865191152"/>
  </r>
  <r>
    <d v="2021-03-01T00:00:00"/>
    <x v="4"/>
    <n v="156.80000000000001"/>
    <n v="148.6"/>
    <n v="5.5181695827725559"/>
  </r>
  <r>
    <d v="2021-04-01T00:00:00"/>
    <x v="4"/>
    <n v="157.80000000000001"/>
    <s v="NA"/>
    <s v=""/>
  </r>
  <r>
    <d v="2021-05-01T00:00:00"/>
    <x v="4"/>
    <n v="160.4"/>
    <s v="NA"/>
    <s v=""/>
  </r>
  <r>
    <d v="2021-06-01T00:00:00"/>
    <x v="4"/>
    <n v="161.30000000000001"/>
    <n v="151.80000000000001"/>
    <n v="6.2582345191040831"/>
  </r>
  <r>
    <d v="2021-07-01T00:00:00"/>
    <x v="4"/>
    <n v="162.5"/>
    <n v="151.80000000000001"/>
    <n v="7.0487483530961708"/>
  </r>
  <r>
    <d v="2021-08-01T00:00:00"/>
    <x v="4"/>
    <n v="163.19999999999999"/>
    <n v="153.9"/>
    <n v="6.0428849902534001"/>
  </r>
  <r>
    <d v="2021-09-01T00:00:00"/>
    <x v="4"/>
    <n v="163.19999999999999"/>
    <n v="154.69999999999999"/>
    <n v="5.4945054945054954"/>
  </r>
  <r>
    <d v="2021-10-01T00:00:00"/>
    <x v="4"/>
    <n v="165.5"/>
    <n v="156.4"/>
    <n v="5.8184143222506357"/>
  </r>
  <r>
    <d v="2021-11-01T00:00:00"/>
    <x v="4"/>
    <n v="166.7"/>
    <n v="158.4"/>
    <n v="5.239898989898979"/>
  </r>
  <r>
    <d v="2021-12-01T00:00:00"/>
    <x v="4"/>
    <n v="166.2"/>
    <n v="158.9"/>
    <n v="4.5940843297671385"/>
  </r>
  <r>
    <d v="2022-01-01T00:00:00"/>
    <x v="5"/>
    <n v="165.7"/>
    <n v="157.30000000000001"/>
    <n v="5.3401144310235074"/>
  </r>
  <r>
    <d v="2022-02-01T00:00:00"/>
    <x v="5"/>
    <n v="166.1"/>
    <n v="156.6"/>
    <n v="6.0664112388250322"/>
  </r>
  <r>
    <d v="2022-03-01T00:00:00"/>
    <x v="5"/>
    <n v="167.7"/>
    <n v="156.80000000000001"/>
    <n v="6.9515306122448823"/>
  </r>
  <r>
    <d v="2022-04-01T00:00:00"/>
    <x v="5"/>
    <n v="170.1"/>
    <n v="157.80000000000001"/>
    <n v="7.7946768060836389"/>
  </r>
  <r>
    <d v="2022-05-01T00:00:00"/>
    <x v="5"/>
    <n v="171.7"/>
    <n v="160.4"/>
    <n v="7.044887780548617"/>
  </r>
  <r>
    <d v="2022-06-01T00:00:00"/>
    <x v="5"/>
    <n v="172.6"/>
    <n v="161.30000000000001"/>
    <n v="7.0055796652200755"/>
  </r>
  <r>
    <d v="2022-07-01T00:00:00"/>
    <x v="5"/>
    <n v="173.4"/>
    <n v="162.5"/>
    <n v="6.7076923076923114"/>
  </r>
  <r>
    <d v="2022-08-01T00:00:00"/>
    <x v="5"/>
    <n v="174.3"/>
    <n v="163.19999999999999"/>
    <n v="6.8014705882353086"/>
  </r>
  <r>
    <d v="2022-09-01T00:00:00"/>
    <x v="5"/>
    <n v="175.3"/>
    <n v="163.19999999999999"/>
    <n v="7.4142156862745239"/>
  </r>
  <r>
    <d v="2022-10-01T00:00:00"/>
    <x v="5"/>
    <n v="176.7"/>
    <n v="165.5"/>
    <n v="6.7673716012084526"/>
  </r>
  <r>
    <d v="2022-11-01T00:00:00"/>
    <x v="5"/>
    <n v="176.5"/>
    <n v="166.7"/>
    <n v="5.8788242351529769"/>
  </r>
  <r>
    <d v="2022-12-01T00:00:00"/>
    <x v="5"/>
    <n v="175.7"/>
    <n v="166.2"/>
    <n v="5.7160048134777384"/>
  </r>
  <r>
    <d v="2023-01-01T00:00:00"/>
    <x v="6"/>
    <n v="176.5"/>
    <n v="165.7"/>
    <n v="6.5178032589016377"/>
  </r>
  <r>
    <d v="2023-02-01T00:00:00"/>
    <x v="6"/>
    <n v="177.2"/>
    <n v="166.1"/>
    <n v="6.6827212522576733"/>
  </r>
  <r>
    <d v="2023-03-01T00:00:00"/>
    <x v="6"/>
    <n v="177.2"/>
    <n v="167.7"/>
    <n v="5.6648777579010146"/>
  </r>
  <r>
    <d v="2023-04-01T00:00:00"/>
    <x v="6"/>
    <n v="178.1"/>
    <n v="170.1"/>
    <n v="4.7031158142269254"/>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72">
  <r>
    <x v="0"/>
    <x v="0"/>
    <x v="0"/>
    <x v="0"/>
    <n v="107.5"/>
    <n v="106.3"/>
    <n v="108.1"/>
    <n v="104.9"/>
    <n v="106.1"/>
    <n v="103.9"/>
    <n v="101.9"/>
    <n v="106.1"/>
    <n v="106.8"/>
    <n v="103.1"/>
    <n v="104.8"/>
    <n v="106.7"/>
    <n v="105.5"/>
    <n v="105.1"/>
    <n v="106.5"/>
    <n v="105.8"/>
    <n v="106.4"/>
    <s v="NA"/>
    <n v="105.5"/>
    <n v="104.8"/>
    <n v="104"/>
    <n v="103.3"/>
    <n v="103.4"/>
    <n v="103.8"/>
    <n v="104.7"/>
    <n v="104"/>
    <n v="105.1"/>
    <x v="0"/>
  </r>
  <r>
    <x v="1"/>
    <x v="0"/>
    <x v="0"/>
    <x v="0"/>
    <n v="110.5"/>
    <n v="109.1"/>
    <n v="113"/>
    <n v="103.6"/>
    <n v="103.4"/>
    <n v="102.3"/>
    <n v="102.9"/>
    <n v="105.8"/>
    <n v="105.1"/>
    <n v="101.8"/>
    <n v="105.1"/>
    <n v="107.9"/>
    <n v="105.9"/>
    <n v="105.2"/>
    <n v="105.9"/>
    <n v="105"/>
    <n v="105.8"/>
    <n v="100.3"/>
    <n v="105.4"/>
    <n v="104.8"/>
    <n v="104.1"/>
    <n v="103.2"/>
    <n v="102.9"/>
    <n v="103.5"/>
    <n v="104.3"/>
    <n v="103.7"/>
    <n v="104"/>
    <x v="0"/>
  </r>
  <r>
    <x v="2"/>
    <x v="0"/>
    <x v="0"/>
    <x v="0"/>
    <n v="108.4"/>
    <n v="107.3"/>
    <n v="110"/>
    <n v="104.4"/>
    <n v="105.1"/>
    <n v="103.2"/>
    <n v="102.2"/>
    <n v="106"/>
    <n v="106.2"/>
    <n v="102.7"/>
    <n v="104.9"/>
    <n v="107.3"/>
    <n v="105.6"/>
    <n v="105.1"/>
    <n v="106.3"/>
    <n v="105.5"/>
    <n v="106.2"/>
    <n v="100.3"/>
    <n v="105.5"/>
    <n v="104.8"/>
    <n v="104"/>
    <n v="103.2"/>
    <n v="103.1"/>
    <n v="103.6"/>
    <n v="104.5"/>
    <n v="103.9"/>
    <n v="104.6"/>
    <x v="0"/>
  </r>
  <r>
    <x v="0"/>
    <x v="0"/>
    <x v="1"/>
    <x v="1"/>
    <n v="109.2"/>
    <n v="108.7"/>
    <n v="110.2"/>
    <n v="105.4"/>
    <n v="106.7"/>
    <n v="104"/>
    <n v="102.4"/>
    <n v="105.9"/>
    <n v="105.7"/>
    <n v="103.1"/>
    <n v="105.1"/>
    <n v="107.7"/>
    <n v="106.3"/>
    <n v="105.6"/>
    <n v="107.1"/>
    <n v="106.3"/>
    <n v="107"/>
    <s v="NA"/>
    <n v="106.2"/>
    <n v="105.2"/>
    <n v="104.4"/>
    <n v="103.9"/>
    <n v="104"/>
    <n v="104.1"/>
    <n v="104.6"/>
    <n v="104.4"/>
    <n v="105.8"/>
    <x v="0"/>
  </r>
  <r>
    <x v="1"/>
    <x v="0"/>
    <x v="1"/>
    <x v="1"/>
    <n v="112.9"/>
    <n v="112.9"/>
    <n v="116.9"/>
    <n v="104"/>
    <n v="103.5"/>
    <n v="103.1"/>
    <n v="104.9"/>
    <n v="104.1"/>
    <n v="103.8"/>
    <n v="102.3"/>
    <n v="106"/>
    <n v="109"/>
    <n v="107.2"/>
    <n v="106"/>
    <n v="106.6"/>
    <n v="105.5"/>
    <n v="106.4"/>
    <n v="100.4"/>
    <n v="105.7"/>
    <n v="105.2"/>
    <n v="104.7"/>
    <n v="104.4"/>
    <n v="103.3"/>
    <n v="103.7"/>
    <n v="104.3"/>
    <n v="104.3"/>
    <n v="104.7"/>
    <x v="0"/>
  </r>
  <r>
    <x v="2"/>
    <x v="0"/>
    <x v="1"/>
    <x v="1"/>
    <n v="110.4"/>
    <n v="110.2"/>
    <n v="112.8"/>
    <n v="104.9"/>
    <n v="105.5"/>
    <n v="103.6"/>
    <n v="103.2"/>
    <n v="105.3"/>
    <n v="105.1"/>
    <n v="102.8"/>
    <n v="105.5"/>
    <n v="108.3"/>
    <n v="106.6"/>
    <n v="105.7"/>
    <n v="106.9"/>
    <n v="106"/>
    <n v="106.8"/>
    <n v="100.4"/>
    <n v="106"/>
    <n v="105.2"/>
    <n v="104.5"/>
    <n v="104.2"/>
    <n v="103.6"/>
    <n v="103.9"/>
    <n v="104.5"/>
    <n v="104.4"/>
    <n v="105.3"/>
    <x v="0"/>
  </r>
  <r>
    <x v="0"/>
    <x v="0"/>
    <x v="2"/>
    <x v="2"/>
    <n v="110.2"/>
    <n v="108.8"/>
    <n v="109.9"/>
    <n v="105.6"/>
    <n v="106.2"/>
    <n v="105.7"/>
    <n v="101.4"/>
    <n v="105.7"/>
    <n v="105"/>
    <n v="103.3"/>
    <n v="105.6"/>
    <n v="108.2"/>
    <n v="106.6"/>
    <n v="106.5"/>
    <n v="107.6"/>
    <n v="106.8"/>
    <n v="107.5"/>
    <s v="NA"/>
    <n v="106.1"/>
    <n v="105.6"/>
    <n v="104.7"/>
    <n v="104.6"/>
    <n v="104"/>
    <n v="104.3"/>
    <n v="104.3"/>
    <n v="104.6"/>
    <n v="106"/>
    <x v="0"/>
  </r>
  <r>
    <x v="1"/>
    <x v="0"/>
    <x v="2"/>
    <x v="2"/>
    <n v="113.9"/>
    <n v="111.4"/>
    <n v="113.2"/>
    <n v="104.3"/>
    <n v="102.7"/>
    <n v="104.9"/>
    <n v="103.8"/>
    <n v="103.5"/>
    <n v="102.6"/>
    <n v="102.4"/>
    <n v="107"/>
    <n v="109.8"/>
    <n v="107.3"/>
    <n v="106.8"/>
    <n v="107.2"/>
    <n v="106"/>
    <n v="107"/>
    <n v="100.4"/>
    <n v="106"/>
    <n v="105.7"/>
    <n v="105.2"/>
    <n v="105.5"/>
    <n v="103.5"/>
    <n v="103.8"/>
    <n v="104.2"/>
    <n v="104.9"/>
    <n v="105"/>
    <x v="0"/>
  </r>
  <r>
    <x v="2"/>
    <x v="0"/>
    <x v="2"/>
    <x v="2"/>
    <n v="111.4"/>
    <n v="109.7"/>
    <n v="111.2"/>
    <n v="105.1"/>
    <n v="104.9"/>
    <n v="105.3"/>
    <n v="102.2"/>
    <n v="105"/>
    <n v="104.2"/>
    <n v="103"/>
    <n v="106.2"/>
    <n v="108.9"/>
    <n v="106.9"/>
    <n v="106.6"/>
    <n v="107.4"/>
    <n v="106.5"/>
    <n v="107.3"/>
    <n v="100.4"/>
    <n v="106.1"/>
    <n v="105.6"/>
    <n v="104.9"/>
    <n v="105.1"/>
    <n v="103.7"/>
    <n v="104"/>
    <n v="104.3"/>
    <n v="104.7"/>
    <n v="105.5"/>
    <x v="0"/>
  </r>
  <r>
    <x v="0"/>
    <x v="0"/>
    <x v="3"/>
    <x v="3"/>
    <n v="110.2"/>
    <n v="109.5"/>
    <n v="106.9"/>
    <n v="106.3"/>
    <n v="105.7"/>
    <n v="108.3"/>
    <n v="103.4"/>
    <n v="105.7"/>
    <n v="104.2"/>
    <n v="103.2"/>
    <n v="106.5"/>
    <n v="108.8"/>
    <n v="107.1"/>
    <n v="107.1"/>
    <n v="108.1"/>
    <n v="107.4"/>
    <n v="108"/>
    <s v="NA"/>
    <n v="106.5"/>
    <n v="106.1"/>
    <n v="105.1"/>
    <n v="104.4"/>
    <n v="104.5"/>
    <n v="104.8"/>
    <n v="102.7"/>
    <n v="104.6"/>
    <n v="106.4"/>
    <x v="0"/>
  </r>
  <r>
    <x v="1"/>
    <x v="0"/>
    <x v="3"/>
    <x v="3"/>
    <n v="114.6"/>
    <n v="113.4"/>
    <n v="106"/>
    <n v="104.7"/>
    <n v="102.1"/>
    <n v="109.5"/>
    <n v="109.7"/>
    <n v="104.6"/>
    <n v="102"/>
    <n v="103.5"/>
    <n v="108.2"/>
    <n v="110.6"/>
    <n v="108.8"/>
    <n v="108.5"/>
    <n v="107.9"/>
    <n v="106.4"/>
    <n v="107.7"/>
    <n v="100.5"/>
    <n v="106.4"/>
    <n v="106.5"/>
    <n v="105.7"/>
    <n v="105"/>
    <n v="104"/>
    <n v="105.2"/>
    <n v="103.2"/>
    <n v="105.1"/>
    <n v="105.7"/>
    <x v="0"/>
  </r>
  <r>
    <x v="2"/>
    <x v="0"/>
    <x v="3"/>
    <x v="3"/>
    <n v="111.6"/>
    <n v="110.9"/>
    <n v="106.6"/>
    <n v="105.7"/>
    <n v="104.4"/>
    <n v="108.9"/>
    <n v="105.5"/>
    <n v="105.3"/>
    <n v="103.5"/>
    <n v="103.3"/>
    <n v="107.2"/>
    <n v="109.6"/>
    <n v="107.7"/>
    <n v="107.5"/>
    <n v="108"/>
    <n v="107"/>
    <n v="107.9"/>
    <n v="100.5"/>
    <n v="106.5"/>
    <n v="106.3"/>
    <n v="105.3"/>
    <n v="104.7"/>
    <n v="104.2"/>
    <n v="105"/>
    <n v="102.9"/>
    <n v="104.8"/>
    <n v="106.1"/>
    <x v="0"/>
  </r>
  <r>
    <x v="0"/>
    <x v="0"/>
    <x v="4"/>
    <x v="4"/>
    <n v="110.9"/>
    <n v="109.8"/>
    <n v="105.9"/>
    <n v="107.5"/>
    <n v="105.3"/>
    <n v="108.1"/>
    <n v="107.3"/>
    <n v="106.1"/>
    <n v="103.7"/>
    <n v="104"/>
    <n v="107.4"/>
    <n v="109.9"/>
    <n v="108.1"/>
    <n v="108.1"/>
    <n v="108.8"/>
    <n v="107.9"/>
    <n v="108.6"/>
    <s v="NA"/>
    <n v="107.5"/>
    <n v="106.8"/>
    <n v="105.7"/>
    <n v="104.1"/>
    <n v="105"/>
    <n v="105.5"/>
    <n v="102.1"/>
    <n v="104.8"/>
    <n v="107.2"/>
    <x v="0"/>
  </r>
  <r>
    <x v="1"/>
    <x v="0"/>
    <x v="4"/>
    <x v="4"/>
    <n v="115.4"/>
    <n v="114.2"/>
    <n v="102.7"/>
    <n v="105.5"/>
    <n v="101.5"/>
    <n v="110.6"/>
    <n v="123.7"/>
    <n v="105.2"/>
    <n v="101.9"/>
    <n v="105"/>
    <n v="109.1"/>
    <n v="111.3"/>
    <n v="111.1"/>
    <n v="109.8"/>
    <n v="108.5"/>
    <n v="106.7"/>
    <n v="108.3"/>
    <n v="100.5"/>
    <n v="107.2"/>
    <n v="107.1"/>
    <n v="106.2"/>
    <n v="103.9"/>
    <n v="104.6"/>
    <n v="105.7"/>
    <n v="102.6"/>
    <n v="104.9"/>
    <n v="106.6"/>
    <x v="0"/>
  </r>
  <r>
    <x v="2"/>
    <x v="0"/>
    <x v="4"/>
    <x v="4"/>
    <n v="112.3"/>
    <n v="111.3"/>
    <n v="104.7"/>
    <n v="106.8"/>
    <n v="103.9"/>
    <n v="109.3"/>
    <n v="112.9"/>
    <n v="105.8"/>
    <n v="103.1"/>
    <n v="104.3"/>
    <n v="108.1"/>
    <n v="110.5"/>
    <n v="109.2"/>
    <n v="108.6"/>
    <n v="108.7"/>
    <n v="107.4"/>
    <n v="108.5"/>
    <n v="100.5"/>
    <n v="107.4"/>
    <n v="106.9"/>
    <n v="105.9"/>
    <n v="104"/>
    <n v="104.8"/>
    <n v="105.6"/>
    <n v="102.3"/>
    <n v="104.8"/>
    <n v="106.9"/>
    <x v="0"/>
  </r>
  <r>
    <x v="0"/>
    <x v="0"/>
    <x v="5"/>
    <x v="5"/>
    <n v="112.3"/>
    <n v="112.1"/>
    <n v="108.1"/>
    <n v="108.3"/>
    <n v="105.9"/>
    <n v="109.2"/>
    <n v="118"/>
    <n v="106.8"/>
    <n v="104.1"/>
    <n v="105.4"/>
    <n v="108.2"/>
    <n v="111"/>
    <n v="110.6"/>
    <n v="109"/>
    <n v="109.7"/>
    <n v="108.8"/>
    <n v="109.5"/>
    <s v="NA"/>
    <n v="108.5"/>
    <n v="107.5"/>
    <n v="106.3"/>
    <n v="105"/>
    <n v="105.6"/>
    <n v="106.5"/>
    <n v="102.5"/>
    <n v="105.5"/>
    <n v="108.9"/>
    <x v="0"/>
  </r>
  <r>
    <x v="1"/>
    <x v="0"/>
    <x v="5"/>
    <x v="5"/>
    <n v="117"/>
    <n v="120.1"/>
    <n v="112.5"/>
    <n v="107.3"/>
    <n v="101.3"/>
    <n v="112.4"/>
    <n v="143.6"/>
    <n v="105.4"/>
    <n v="101.4"/>
    <n v="106.4"/>
    <n v="110"/>
    <n v="112.2"/>
    <n v="115"/>
    <n v="110.9"/>
    <n v="109.2"/>
    <n v="107.2"/>
    <n v="108.9"/>
    <n v="106.6"/>
    <n v="108"/>
    <n v="107.7"/>
    <n v="106.5"/>
    <n v="105.2"/>
    <n v="105.2"/>
    <n v="108.1"/>
    <n v="103.3"/>
    <n v="106.1"/>
    <n v="109.7"/>
    <x v="0"/>
  </r>
  <r>
    <x v="2"/>
    <x v="0"/>
    <x v="5"/>
    <x v="5"/>
    <n v="113.8"/>
    <n v="114.9"/>
    <n v="109.8"/>
    <n v="107.9"/>
    <n v="104.2"/>
    <n v="110.7"/>
    <n v="126.7"/>
    <n v="106.3"/>
    <n v="103.2"/>
    <n v="105.7"/>
    <n v="109"/>
    <n v="111.6"/>
    <n v="112.2"/>
    <n v="109.5"/>
    <n v="109.5"/>
    <n v="108.1"/>
    <n v="109.3"/>
    <n v="106.6"/>
    <n v="108.3"/>
    <n v="107.6"/>
    <n v="106.4"/>
    <n v="105.1"/>
    <n v="105.4"/>
    <n v="107.4"/>
    <n v="102.8"/>
    <n v="105.8"/>
    <n v="109.3"/>
    <x v="0"/>
  </r>
  <r>
    <x v="0"/>
    <x v="0"/>
    <x v="6"/>
    <x v="6"/>
    <n v="113.4"/>
    <n v="114.9"/>
    <n v="110.5"/>
    <n v="109.3"/>
    <n v="106.2"/>
    <n v="110.3"/>
    <n v="129.19999999999999"/>
    <n v="107.1"/>
    <n v="104.3"/>
    <n v="106.4"/>
    <n v="109.1"/>
    <n v="112.1"/>
    <n v="113.1"/>
    <n v="109.8"/>
    <n v="110.5"/>
    <n v="109.5"/>
    <n v="110.3"/>
    <s v="NA"/>
    <n v="109.5"/>
    <n v="108.3"/>
    <n v="106.9"/>
    <n v="106.8"/>
    <n v="106.4"/>
    <n v="107.8"/>
    <n v="102.5"/>
    <n v="106.5"/>
    <n v="110.7"/>
    <x v="0"/>
  </r>
  <r>
    <x v="1"/>
    <x v="0"/>
    <x v="6"/>
    <x v="6"/>
    <n v="117.8"/>
    <n v="119.2"/>
    <n v="114"/>
    <n v="108.3"/>
    <n v="101.1"/>
    <n v="113.2"/>
    <n v="160.9"/>
    <n v="105.1"/>
    <n v="101.3"/>
    <n v="107.5"/>
    <n v="110.4"/>
    <n v="113.1"/>
    <n v="117.5"/>
    <n v="111.7"/>
    <n v="109.8"/>
    <n v="107.8"/>
    <n v="109.5"/>
    <n v="107.7"/>
    <n v="108.6"/>
    <n v="108.1"/>
    <n v="107.1"/>
    <n v="107.3"/>
    <n v="105.9"/>
    <n v="110.1"/>
    <n v="103.2"/>
    <n v="107.3"/>
    <n v="111.4"/>
    <x v="0"/>
  </r>
  <r>
    <x v="2"/>
    <x v="0"/>
    <x v="6"/>
    <x v="6"/>
    <n v="114.8"/>
    <n v="116.4"/>
    <n v="111.9"/>
    <n v="108.9"/>
    <n v="104.3"/>
    <n v="111.7"/>
    <n v="140"/>
    <n v="106.4"/>
    <n v="103.3"/>
    <n v="106.8"/>
    <n v="109.6"/>
    <n v="112.6"/>
    <n v="114.7"/>
    <n v="110.3"/>
    <n v="110.2"/>
    <n v="108.8"/>
    <n v="110"/>
    <n v="107.7"/>
    <n v="109.2"/>
    <n v="108.2"/>
    <n v="107"/>
    <n v="107.1"/>
    <n v="106.1"/>
    <n v="109.1"/>
    <n v="102.8"/>
    <n v="106.9"/>
    <n v="111"/>
    <x v="0"/>
  </r>
  <r>
    <x v="0"/>
    <x v="0"/>
    <x v="7"/>
    <x v="7"/>
    <n v="114.3"/>
    <n v="115.4"/>
    <n v="111.1"/>
    <n v="110"/>
    <n v="106.4"/>
    <n v="110.8"/>
    <n v="138.9"/>
    <n v="107.4"/>
    <n v="104.1"/>
    <n v="106.9"/>
    <n v="109.7"/>
    <n v="112.6"/>
    <n v="114.9"/>
    <n v="110.7"/>
    <n v="111.3"/>
    <n v="110.2"/>
    <n v="111.1"/>
    <s v="NA"/>
    <n v="109.9"/>
    <n v="108.7"/>
    <n v="107.5"/>
    <n v="107.8"/>
    <n v="106.8"/>
    <n v="108.7"/>
    <n v="105"/>
    <n v="107.5"/>
    <n v="112.1"/>
    <x v="0"/>
  </r>
  <r>
    <x v="1"/>
    <x v="0"/>
    <x v="7"/>
    <x v="7"/>
    <n v="118.3"/>
    <n v="120.4"/>
    <n v="112.7"/>
    <n v="108.9"/>
    <n v="101.1"/>
    <n v="108.7"/>
    <n v="177"/>
    <n v="104.7"/>
    <n v="101"/>
    <n v="108.5"/>
    <n v="110.9"/>
    <n v="114.3"/>
    <n v="119.6"/>
    <n v="112.4"/>
    <n v="110.6"/>
    <n v="108.3"/>
    <n v="110.2"/>
    <n v="108.9"/>
    <n v="109.3"/>
    <n v="108.7"/>
    <n v="107.6"/>
    <n v="108.1"/>
    <n v="106.5"/>
    <n v="110.8"/>
    <n v="106"/>
    <n v="108.3"/>
    <n v="112.7"/>
    <x v="0"/>
  </r>
  <r>
    <x v="2"/>
    <x v="0"/>
    <x v="7"/>
    <x v="7"/>
    <n v="115.6"/>
    <n v="117.2"/>
    <n v="111.7"/>
    <n v="109.6"/>
    <n v="104.5"/>
    <n v="109.8"/>
    <n v="151.80000000000001"/>
    <n v="106.5"/>
    <n v="103.1"/>
    <n v="107.4"/>
    <n v="110.2"/>
    <n v="113.4"/>
    <n v="116.6"/>
    <n v="111.2"/>
    <n v="111"/>
    <n v="109.4"/>
    <n v="110.7"/>
    <n v="108.9"/>
    <n v="109.7"/>
    <n v="108.7"/>
    <n v="107.5"/>
    <n v="108"/>
    <n v="106.6"/>
    <n v="109.9"/>
    <n v="105.4"/>
    <n v="107.9"/>
    <n v="112.4"/>
    <x v="0"/>
  </r>
  <r>
    <x v="0"/>
    <x v="0"/>
    <x v="8"/>
    <x v="8"/>
    <n v="115.4"/>
    <n v="115.7"/>
    <n v="111.7"/>
    <n v="111"/>
    <n v="107.4"/>
    <n v="110.9"/>
    <n v="154"/>
    <n v="108.1"/>
    <n v="104.2"/>
    <n v="107.9"/>
    <n v="110.4"/>
    <n v="114"/>
    <n v="117.8"/>
    <n v="111.7"/>
    <n v="112.7"/>
    <n v="111.4"/>
    <n v="112.5"/>
    <s v="NA"/>
    <n v="111.1"/>
    <n v="109.6"/>
    <n v="108.3"/>
    <n v="109.3"/>
    <n v="107.7"/>
    <n v="109.8"/>
    <n v="106.7"/>
    <n v="108.7"/>
    <n v="114.2"/>
    <x v="0"/>
  </r>
  <r>
    <x v="1"/>
    <x v="0"/>
    <x v="8"/>
    <x v="8"/>
    <n v="118.6"/>
    <n v="119.1"/>
    <n v="113.2"/>
    <n v="109.6"/>
    <n v="101.7"/>
    <n v="103.2"/>
    <n v="174.3"/>
    <n v="105.1"/>
    <n v="100.8"/>
    <n v="109.1"/>
    <n v="111.1"/>
    <n v="115.4"/>
    <n v="119.2"/>
    <n v="112.9"/>
    <n v="111.4"/>
    <n v="109"/>
    <n v="111.1"/>
    <n v="109.7"/>
    <n v="109.5"/>
    <n v="109.6"/>
    <n v="107.9"/>
    <n v="110.4"/>
    <n v="107.4"/>
    <n v="111.2"/>
    <n v="106.9"/>
    <n v="109.4"/>
    <n v="113.2"/>
    <x v="0"/>
  </r>
  <r>
    <x v="2"/>
    <x v="0"/>
    <x v="8"/>
    <x v="8"/>
    <n v="116.4"/>
    <n v="116.9"/>
    <n v="112.3"/>
    <n v="110.5"/>
    <n v="105.3"/>
    <n v="107.3"/>
    <n v="160.9"/>
    <n v="107.1"/>
    <n v="103.1"/>
    <n v="108.3"/>
    <n v="110.7"/>
    <n v="114.6"/>
    <n v="118.3"/>
    <n v="112"/>
    <n v="112.2"/>
    <n v="110.4"/>
    <n v="111.9"/>
    <n v="109.7"/>
    <n v="110.5"/>
    <n v="109.6"/>
    <n v="108.1"/>
    <n v="109.9"/>
    <n v="107.5"/>
    <n v="110.6"/>
    <n v="106.8"/>
    <n v="109"/>
    <n v="113.7"/>
    <x v="0"/>
  </r>
  <r>
    <x v="0"/>
    <x v="0"/>
    <x v="9"/>
    <x v="9"/>
    <n v="116.3"/>
    <n v="115.4"/>
    <n v="112.6"/>
    <n v="111.7"/>
    <n v="107.7"/>
    <n v="113.2"/>
    <n v="164.9"/>
    <n v="108.3"/>
    <n v="103.9"/>
    <n v="108.2"/>
    <n v="111.1"/>
    <n v="114.9"/>
    <n v="119.8"/>
    <n v="112.2"/>
    <n v="113.6"/>
    <n v="112.3"/>
    <n v="113.4"/>
    <s v="NA"/>
    <n v="111.6"/>
    <n v="110.4"/>
    <n v="108.9"/>
    <n v="109.3"/>
    <n v="108.3"/>
    <n v="110.2"/>
    <n v="107.5"/>
    <n v="109.1"/>
    <n v="115.5"/>
    <x v="0"/>
  </r>
  <r>
    <x v="1"/>
    <x v="0"/>
    <x v="9"/>
    <x v="9"/>
    <n v="118.9"/>
    <n v="118.1"/>
    <n v="114.5"/>
    <n v="110.4"/>
    <n v="102.3"/>
    <n v="106.2"/>
    <n v="183.5"/>
    <n v="105.3"/>
    <n v="100.2"/>
    <n v="109.6"/>
    <n v="111.4"/>
    <n v="116"/>
    <n v="120.8"/>
    <n v="113.5"/>
    <n v="112.5"/>
    <n v="109.7"/>
    <n v="112"/>
    <n v="110.5"/>
    <n v="109.7"/>
    <n v="110.2"/>
    <n v="108.2"/>
    <n v="109.7"/>
    <n v="108"/>
    <n v="111.3"/>
    <n v="107.3"/>
    <n v="109.4"/>
    <n v="114"/>
    <x v="0"/>
  </r>
  <r>
    <x v="2"/>
    <x v="0"/>
    <x v="9"/>
    <x v="9"/>
    <n v="117.1"/>
    <n v="116.3"/>
    <n v="113.3"/>
    <n v="111.2"/>
    <n v="105.7"/>
    <n v="109.9"/>
    <n v="171.2"/>
    <n v="107.3"/>
    <n v="102.7"/>
    <n v="108.7"/>
    <n v="111.2"/>
    <n v="115.4"/>
    <n v="120.2"/>
    <n v="112.5"/>
    <n v="113.2"/>
    <n v="111.2"/>
    <n v="112.8"/>
    <n v="110.5"/>
    <n v="110.9"/>
    <n v="110.3"/>
    <n v="108.6"/>
    <n v="109.5"/>
    <n v="108.1"/>
    <n v="110.8"/>
    <n v="107.4"/>
    <n v="109.2"/>
    <n v="114.8"/>
    <x v="0"/>
  </r>
  <r>
    <x v="0"/>
    <x v="0"/>
    <x v="10"/>
    <x v="10"/>
    <n v="117.3"/>
    <n v="114.9"/>
    <n v="116.2"/>
    <n v="112.8"/>
    <n v="108.9"/>
    <n v="116.6"/>
    <n v="178.1"/>
    <n v="109.1"/>
    <n v="103.6"/>
    <n v="109"/>
    <n v="111.8"/>
    <n v="116"/>
    <n v="122.5"/>
    <n v="112.8"/>
    <n v="114.6"/>
    <n v="113.1"/>
    <n v="114.4"/>
    <s v="NA"/>
    <n v="112.6"/>
    <n v="111.3"/>
    <n v="109.7"/>
    <n v="109.6"/>
    <n v="108.7"/>
    <n v="111"/>
    <n v="108.2"/>
    <n v="109.8"/>
    <n v="117.4"/>
    <x v="0"/>
  </r>
  <r>
    <x v="1"/>
    <x v="0"/>
    <x v="11"/>
    <x v="11"/>
    <n v="119.8"/>
    <n v="116.3"/>
    <n v="122.6"/>
    <n v="112"/>
    <n v="103.2"/>
    <n v="110"/>
    <n v="192.8"/>
    <n v="106.3"/>
    <n v="99.5"/>
    <n v="110.3"/>
    <n v="111.8"/>
    <n v="117.1"/>
    <n v="122.9"/>
    <n v="114.1"/>
    <n v="113.5"/>
    <n v="110.3"/>
    <n v="113"/>
    <n v="111.1"/>
    <n v="110"/>
    <n v="110.9"/>
    <n v="108.6"/>
    <n v="109.5"/>
    <n v="108.5"/>
    <n v="111.3"/>
    <n v="107.9"/>
    <n v="109.6"/>
    <n v="115"/>
    <x v="0"/>
  </r>
  <r>
    <x v="2"/>
    <x v="0"/>
    <x v="11"/>
    <x v="11"/>
    <n v="118.1"/>
    <n v="115.4"/>
    <n v="118.7"/>
    <n v="112.5"/>
    <n v="106.8"/>
    <n v="113.5"/>
    <n v="183.1"/>
    <n v="108.2"/>
    <n v="102.2"/>
    <n v="109.4"/>
    <n v="111.8"/>
    <n v="116.5"/>
    <n v="122.6"/>
    <n v="113.1"/>
    <n v="114.2"/>
    <n v="111.9"/>
    <n v="113.8"/>
    <n v="111.1"/>
    <n v="111.6"/>
    <n v="111.1"/>
    <n v="109.3"/>
    <n v="109.5"/>
    <n v="108.6"/>
    <n v="111.2"/>
    <n v="108.1"/>
    <n v="109.7"/>
    <n v="116.3"/>
    <x v="0"/>
  </r>
  <r>
    <x v="0"/>
    <x v="0"/>
    <x v="12"/>
    <x v="12"/>
    <n v="118.4"/>
    <n v="115.9"/>
    <n v="120.4"/>
    <n v="113.8"/>
    <n v="109.5"/>
    <n v="115.5"/>
    <n v="145.69999999999999"/>
    <n v="109.5"/>
    <n v="102.9"/>
    <n v="109.8"/>
    <n v="112.1"/>
    <n v="116.8"/>
    <n v="118.7"/>
    <n v="113.6"/>
    <n v="115.8"/>
    <n v="114"/>
    <n v="115.5"/>
    <s v="NA"/>
    <n v="112.8"/>
    <n v="112.1"/>
    <n v="110.1"/>
    <n v="109.9"/>
    <n v="109.2"/>
    <n v="111.6"/>
    <n v="108.1"/>
    <n v="110.1"/>
    <n v="115.5"/>
    <x v="0"/>
  </r>
  <r>
    <x v="1"/>
    <x v="0"/>
    <x v="12"/>
    <x v="12"/>
    <n v="120.5"/>
    <n v="118.1"/>
    <n v="128.5"/>
    <n v="112.8"/>
    <n v="103.4"/>
    <n v="110.7"/>
    <n v="144.80000000000001"/>
    <n v="107.1"/>
    <n v="98.6"/>
    <n v="111.9"/>
    <n v="112.1"/>
    <n v="118.1"/>
    <n v="117.8"/>
    <n v="115"/>
    <n v="114.2"/>
    <n v="110.9"/>
    <n v="113.7"/>
    <n v="110.7"/>
    <n v="110.4"/>
    <n v="111.3"/>
    <n v="109"/>
    <n v="109.7"/>
    <n v="108.9"/>
    <n v="111.4"/>
    <n v="107.7"/>
    <n v="109.8"/>
    <n v="113.3"/>
    <x v="0"/>
  </r>
  <r>
    <x v="2"/>
    <x v="0"/>
    <x v="12"/>
    <x v="12"/>
    <n v="119.1"/>
    <n v="116.7"/>
    <n v="123.5"/>
    <n v="113.4"/>
    <n v="107.3"/>
    <n v="113.3"/>
    <n v="145.4"/>
    <n v="108.7"/>
    <n v="101.5"/>
    <n v="110.5"/>
    <n v="112.1"/>
    <n v="117.4"/>
    <n v="118.4"/>
    <n v="114"/>
    <n v="115.2"/>
    <n v="112.7"/>
    <n v="114.8"/>
    <n v="110.7"/>
    <n v="111.9"/>
    <n v="111.7"/>
    <n v="109.7"/>
    <n v="109.8"/>
    <n v="109"/>
    <n v="111.5"/>
    <n v="107.9"/>
    <n v="110"/>
    <n v="114.5"/>
    <x v="0"/>
  </r>
  <r>
    <x v="0"/>
    <x v="1"/>
    <x v="0"/>
    <x v="13"/>
    <n v="118.9"/>
    <n v="117.1"/>
    <n v="120.5"/>
    <n v="114.4"/>
    <n v="109"/>
    <n v="115.5"/>
    <n v="123.9"/>
    <n v="109.6"/>
    <n v="101.8"/>
    <n v="110.2"/>
    <n v="112.4"/>
    <n v="117.3"/>
    <n v="116"/>
    <n v="114"/>
    <n v="116.5"/>
    <n v="114.5"/>
    <n v="116.2"/>
    <s v="NA"/>
    <n v="113"/>
    <n v="112.6"/>
    <n v="110.6"/>
    <n v="110.5"/>
    <n v="109.6"/>
    <n v="111.8"/>
    <n v="108.3"/>
    <n v="110.6"/>
    <n v="114.2"/>
    <x v="0"/>
  </r>
  <r>
    <x v="1"/>
    <x v="1"/>
    <x v="0"/>
    <x v="13"/>
    <n v="121.2"/>
    <n v="122"/>
    <n v="129.9"/>
    <n v="113.6"/>
    <n v="102.9"/>
    <n v="112.1"/>
    <n v="118.9"/>
    <n v="107.5"/>
    <n v="96.9"/>
    <n v="112.7"/>
    <n v="112.1"/>
    <n v="119"/>
    <n v="115.5"/>
    <n v="115.7"/>
    <n v="114.8"/>
    <n v="111.3"/>
    <n v="114.3"/>
    <n v="111.6"/>
    <n v="111"/>
    <n v="111.9"/>
    <n v="109.7"/>
    <n v="110.8"/>
    <n v="109.8"/>
    <n v="111.5"/>
    <n v="108"/>
    <n v="110.5"/>
    <n v="112.9"/>
    <x v="0"/>
  </r>
  <r>
    <x v="2"/>
    <x v="1"/>
    <x v="0"/>
    <x v="13"/>
    <n v="119.6"/>
    <n v="118.8"/>
    <n v="124.1"/>
    <n v="114.1"/>
    <n v="106.8"/>
    <n v="113.9"/>
    <n v="122.2"/>
    <n v="108.9"/>
    <n v="100.2"/>
    <n v="111"/>
    <n v="112.3"/>
    <n v="118.1"/>
    <n v="115.8"/>
    <n v="114.5"/>
    <n v="115.8"/>
    <n v="113.2"/>
    <n v="115.4"/>
    <n v="111.6"/>
    <n v="112.2"/>
    <n v="112.3"/>
    <n v="110.3"/>
    <n v="110.7"/>
    <n v="109.7"/>
    <n v="111.6"/>
    <n v="108.2"/>
    <n v="110.6"/>
    <n v="113.6"/>
    <x v="0"/>
  </r>
  <r>
    <x v="0"/>
    <x v="1"/>
    <x v="1"/>
    <x v="14"/>
    <n v="119.4"/>
    <n v="117.7"/>
    <n v="121.2"/>
    <n v="115"/>
    <n v="109"/>
    <n v="116.6"/>
    <n v="116"/>
    <n v="109.8"/>
    <n v="101.1"/>
    <n v="110.4"/>
    <n v="112.9"/>
    <n v="117.8"/>
    <n v="115.3"/>
    <n v="114.2"/>
    <n v="117.1"/>
    <n v="114.5"/>
    <n v="116.7"/>
    <s v="NA"/>
    <n v="113.2"/>
    <n v="112.9"/>
    <n v="110.9"/>
    <n v="110.8"/>
    <n v="109.9"/>
    <n v="112"/>
    <n v="108.7"/>
    <n v="110.9"/>
    <n v="114"/>
    <x v="0"/>
  </r>
  <r>
    <x v="1"/>
    <x v="1"/>
    <x v="1"/>
    <x v="14"/>
    <n v="121.9"/>
    <n v="122"/>
    <n v="124.5"/>
    <n v="115.2"/>
    <n v="102.5"/>
    <n v="114.1"/>
    <n v="111.5"/>
    <n v="108.2"/>
    <n v="95.4"/>
    <n v="113.5"/>
    <n v="112.1"/>
    <n v="119.9"/>
    <n v="115.2"/>
    <n v="116.2"/>
    <n v="115.3"/>
    <n v="111.7"/>
    <n v="114.7"/>
    <n v="112.5"/>
    <n v="111.1"/>
    <n v="112.6"/>
    <n v="110.4"/>
    <n v="111.3"/>
    <n v="110.3"/>
    <n v="111.6"/>
    <n v="108.7"/>
    <n v="111"/>
    <n v="113.1"/>
    <x v="0"/>
  </r>
  <r>
    <x v="2"/>
    <x v="1"/>
    <x v="1"/>
    <x v="14"/>
    <n v="120.2"/>
    <n v="119.2"/>
    <n v="122.5"/>
    <n v="115.1"/>
    <n v="106.6"/>
    <n v="115.4"/>
    <n v="114.5"/>
    <n v="109.3"/>
    <n v="99.2"/>
    <n v="111.4"/>
    <n v="112.6"/>
    <n v="118.8"/>
    <n v="115.3"/>
    <n v="114.7"/>
    <n v="116.4"/>
    <n v="113.3"/>
    <n v="115.9"/>
    <n v="112.5"/>
    <n v="112.4"/>
    <n v="112.8"/>
    <n v="110.7"/>
    <n v="111.1"/>
    <n v="110.1"/>
    <n v="111.8"/>
    <n v="108.7"/>
    <n v="110.9"/>
    <n v="113.6"/>
    <x v="0"/>
  </r>
  <r>
    <x v="0"/>
    <x v="1"/>
    <x v="2"/>
    <x v="15"/>
    <n v="120.1"/>
    <n v="118.1"/>
    <n v="120.7"/>
    <n v="116.1"/>
    <n v="109.3"/>
    <n v="119.6"/>
    <n v="117.9"/>
    <n v="110.2"/>
    <n v="101.2"/>
    <n v="110.7"/>
    <n v="113"/>
    <n v="118.3"/>
    <n v="116.2"/>
    <n v="114.6"/>
    <n v="117.5"/>
    <n v="114.9"/>
    <n v="117.2"/>
    <s v="NA"/>
    <n v="113.4"/>
    <n v="113.4"/>
    <n v="111.4"/>
    <n v="111.2"/>
    <n v="110.2"/>
    <n v="112.4"/>
    <n v="108.9"/>
    <n v="111.3"/>
    <n v="114.6"/>
    <x v="0"/>
  </r>
  <r>
    <x v="1"/>
    <x v="1"/>
    <x v="2"/>
    <x v="15"/>
    <n v="122.1"/>
    <n v="121.4"/>
    <n v="121.5"/>
    <n v="116.2"/>
    <n v="102.8"/>
    <n v="117.7"/>
    <n v="113.3"/>
    <n v="108.9"/>
    <n v="96.3"/>
    <n v="114.1"/>
    <n v="112.2"/>
    <n v="120.5"/>
    <n v="116"/>
    <n v="116.7"/>
    <n v="115.8"/>
    <n v="112.1"/>
    <n v="115.2"/>
    <n v="113.2"/>
    <n v="110.9"/>
    <n v="113"/>
    <n v="110.8"/>
    <n v="111.6"/>
    <n v="110.9"/>
    <n v="111.8"/>
    <n v="109.2"/>
    <n v="111.4"/>
    <n v="113.7"/>
    <x v="0"/>
  </r>
  <r>
    <x v="2"/>
    <x v="1"/>
    <x v="2"/>
    <x v="15"/>
    <n v="120.7"/>
    <n v="119.3"/>
    <n v="121"/>
    <n v="116.1"/>
    <n v="106.9"/>
    <n v="118.7"/>
    <n v="116.3"/>
    <n v="109.8"/>
    <n v="99.6"/>
    <n v="111.8"/>
    <n v="112.7"/>
    <n v="119.3"/>
    <n v="116.1"/>
    <n v="115.2"/>
    <n v="116.8"/>
    <n v="113.7"/>
    <n v="116.4"/>
    <n v="113.2"/>
    <n v="112.5"/>
    <n v="113.2"/>
    <n v="111.2"/>
    <n v="111.4"/>
    <n v="110.6"/>
    <n v="112"/>
    <n v="109"/>
    <n v="111.3"/>
    <n v="114.2"/>
    <x v="0"/>
  </r>
  <r>
    <x v="0"/>
    <x v="1"/>
    <x v="3"/>
    <x v="16"/>
    <n v="120.2"/>
    <n v="118.9"/>
    <n v="118.1"/>
    <n v="117"/>
    <n v="109.7"/>
    <n v="125.5"/>
    <n v="120.5"/>
    <n v="111"/>
    <n v="102.6"/>
    <n v="111.2"/>
    <n v="113.5"/>
    <n v="118.7"/>
    <n v="117.2"/>
    <n v="115.4"/>
    <n v="118.1"/>
    <n v="116.1"/>
    <n v="117.8"/>
    <s v="NA"/>
    <n v="113.4"/>
    <n v="113.7"/>
    <n v="111.8"/>
    <n v="111.2"/>
    <n v="110.5"/>
    <n v="113"/>
    <n v="108.9"/>
    <n v="111.5"/>
    <n v="115.4"/>
    <x v="0"/>
  </r>
  <r>
    <x v="1"/>
    <x v="1"/>
    <x v="3"/>
    <x v="16"/>
    <n v="122.5"/>
    <n v="121.7"/>
    <n v="113.3"/>
    <n v="117"/>
    <n v="103.1"/>
    <n v="126.7"/>
    <n v="121.2"/>
    <n v="111"/>
    <n v="100.3"/>
    <n v="115.3"/>
    <n v="112.7"/>
    <n v="121"/>
    <n v="118.2"/>
    <n v="117.6"/>
    <n v="116.3"/>
    <n v="112.5"/>
    <n v="115.7"/>
    <n v="113.9"/>
    <n v="110.9"/>
    <n v="113.4"/>
    <n v="111"/>
    <n v="111.2"/>
    <n v="111.2"/>
    <n v="112.5"/>
    <n v="109.1"/>
    <n v="111.4"/>
    <n v="114.7"/>
    <x v="0"/>
  </r>
  <r>
    <x v="2"/>
    <x v="1"/>
    <x v="3"/>
    <x v="16"/>
    <n v="120.9"/>
    <n v="119.9"/>
    <n v="116.2"/>
    <n v="117"/>
    <n v="107.3"/>
    <n v="126.1"/>
    <n v="120.7"/>
    <n v="111"/>
    <n v="101.8"/>
    <n v="112.6"/>
    <n v="113.2"/>
    <n v="119.8"/>
    <n v="117.6"/>
    <n v="116"/>
    <n v="117.4"/>
    <n v="114.6"/>
    <n v="117"/>
    <n v="113.9"/>
    <n v="112.5"/>
    <n v="113.6"/>
    <n v="111.5"/>
    <n v="111.2"/>
    <n v="110.9"/>
    <n v="112.7"/>
    <n v="109"/>
    <n v="111.5"/>
    <n v="115.1"/>
    <x v="0"/>
  </r>
  <r>
    <x v="0"/>
    <x v="1"/>
    <x v="4"/>
    <x v="17"/>
    <n v="120.3"/>
    <n v="120.2"/>
    <n v="116.9"/>
    <n v="118"/>
    <n v="110.1"/>
    <n v="126.3"/>
    <n v="123.9"/>
    <n v="111.5"/>
    <n v="103.5"/>
    <n v="111.6"/>
    <n v="114.2"/>
    <n v="119.2"/>
    <n v="118.2"/>
    <n v="116.3"/>
    <n v="118.7"/>
    <n v="116.8"/>
    <n v="118.5"/>
    <s v="NA"/>
    <n v="113.4"/>
    <n v="114.1"/>
    <n v="112.1"/>
    <n v="111.4"/>
    <n v="110.9"/>
    <n v="113.1"/>
    <n v="108.9"/>
    <n v="111.8"/>
    <n v="116"/>
    <x v="0"/>
  </r>
  <r>
    <x v="1"/>
    <x v="1"/>
    <x v="4"/>
    <x v="17"/>
    <n v="122.7"/>
    <n v="124.1"/>
    <n v="114.2"/>
    <n v="119.1"/>
    <n v="103.5"/>
    <n v="129.19999999999999"/>
    <n v="127"/>
    <n v="112.6"/>
    <n v="101.3"/>
    <n v="117"/>
    <n v="112.9"/>
    <n v="121.7"/>
    <n v="120"/>
    <n v="118.3"/>
    <n v="116.8"/>
    <n v="112.9"/>
    <n v="116.2"/>
    <n v="114.3"/>
    <n v="111.1"/>
    <n v="114.1"/>
    <n v="111.2"/>
    <n v="111.3"/>
    <n v="111.5"/>
    <n v="112.9"/>
    <n v="109.3"/>
    <n v="111.7"/>
    <n v="115.6"/>
    <x v="0"/>
  </r>
  <r>
    <x v="2"/>
    <x v="1"/>
    <x v="4"/>
    <x v="17"/>
    <n v="121.1"/>
    <n v="121.6"/>
    <n v="115.9"/>
    <n v="118.4"/>
    <n v="107.7"/>
    <n v="127.7"/>
    <n v="125"/>
    <n v="111.9"/>
    <n v="102.8"/>
    <n v="113.4"/>
    <n v="113.7"/>
    <n v="120.4"/>
    <n v="118.9"/>
    <n v="116.8"/>
    <n v="118"/>
    <n v="115.2"/>
    <n v="117.6"/>
    <n v="114.3"/>
    <n v="112.5"/>
    <n v="114.1"/>
    <n v="111.8"/>
    <n v="111.3"/>
    <n v="111.2"/>
    <n v="113"/>
    <n v="109.1"/>
    <n v="111.8"/>
    <n v="115.8"/>
    <x v="0"/>
  </r>
  <r>
    <x v="0"/>
    <x v="1"/>
    <x v="5"/>
    <x v="18"/>
    <n v="120.7"/>
    <n v="121.6"/>
    <n v="116.1"/>
    <n v="119.3"/>
    <n v="110.3"/>
    <n v="125.8"/>
    <n v="129.30000000000001"/>
    <n v="112.2"/>
    <n v="103.6"/>
    <n v="112.3"/>
    <n v="114.9"/>
    <n v="120.1"/>
    <n v="119.5"/>
    <n v="117.3"/>
    <n v="119.7"/>
    <n v="117.3"/>
    <n v="119.3"/>
    <s v="NA"/>
    <n v="114.4"/>
    <n v="114.9"/>
    <n v="112.8"/>
    <n v="112.2"/>
    <n v="111.4"/>
    <n v="114.3"/>
    <n v="108"/>
    <n v="112.3"/>
    <n v="117"/>
    <x v="0"/>
  </r>
  <r>
    <x v="1"/>
    <x v="1"/>
    <x v="5"/>
    <x v="18"/>
    <n v="123.1"/>
    <n v="125.9"/>
    <n v="115.4"/>
    <n v="120.4"/>
    <n v="103.4"/>
    <n v="131.19999999999999"/>
    <n v="137.5"/>
    <n v="112.8"/>
    <n v="101.4"/>
    <n v="118.3"/>
    <n v="113.2"/>
    <n v="122.4"/>
    <n v="122"/>
    <n v="119"/>
    <n v="117.4"/>
    <n v="113.2"/>
    <n v="116.7"/>
    <n v="113.9"/>
    <n v="111.2"/>
    <n v="114.3"/>
    <n v="111.4"/>
    <n v="111.5"/>
    <n v="111.8"/>
    <n v="115.1"/>
    <n v="108.7"/>
    <n v="112.2"/>
    <n v="116.4"/>
    <x v="0"/>
  </r>
  <r>
    <x v="2"/>
    <x v="1"/>
    <x v="5"/>
    <x v="18"/>
    <n v="121.5"/>
    <n v="123.1"/>
    <n v="115.8"/>
    <n v="119.7"/>
    <n v="107.8"/>
    <n v="128.30000000000001"/>
    <n v="132.1"/>
    <n v="112.4"/>
    <n v="102.9"/>
    <n v="114.3"/>
    <n v="114.2"/>
    <n v="121.2"/>
    <n v="120.4"/>
    <n v="117.8"/>
    <n v="118.8"/>
    <n v="115.6"/>
    <n v="118.3"/>
    <n v="113.9"/>
    <n v="113.2"/>
    <n v="114.6"/>
    <n v="112.3"/>
    <n v="111.8"/>
    <n v="111.6"/>
    <n v="114.8"/>
    <n v="108.3"/>
    <n v="112.3"/>
    <n v="116.7"/>
    <x v="0"/>
  </r>
  <r>
    <x v="0"/>
    <x v="1"/>
    <x v="6"/>
    <x v="19"/>
    <n v="121.7"/>
    <n v="122.5"/>
    <n v="117.7"/>
    <n v="120.6"/>
    <n v="110.4"/>
    <n v="129.1"/>
    <n v="150.1"/>
    <n v="113.2"/>
    <n v="104.8"/>
    <n v="113.3"/>
    <n v="115.6"/>
    <n v="120.9"/>
    <n v="123.3"/>
    <n v="118"/>
    <n v="120.7"/>
    <n v="118.3"/>
    <n v="120.3"/>
    <s v="NA"/>
    <n v="115.3"/>
    <n v="115.4"/>
    <n v="113.4"/>
    <n v="113.2"/>
    <n v="111.8"/>
    <n v="115.5"/>
    <n v="108.8"/>
    <n v="113.1"/>
    <n v="119.5"/>
    <x v="0"/>
  </r>
  <r>
    <x v="1"/>
    <x v="1"/>
    <x v="6"/>
    <x v="19"/>
    <n v="123.8"/>
    <n v="126.4"/>
    <n v="118"/>
    <n v="121.6"/>
    <n v="103.5"/>
    <n v="133.69999999999999"/>
    <n v="172.4"/>
    <n v="113.1"/>
    <n v="102.7"/>
    <n v="120"/>
    <n v="113.8"/>
    <n v="123.4"/>
    <n v="127.1"/>
    <n v="121"/>
    <n v="118"/>
    <n v="113.6"/>
    <n v="117.4"/>
    <n v="114.8"/>
    <n v="111.6"/>
    <n v="114.9"/>
    <n v="111.5"/>
    <n v="113"/>
    <n v="112.4"/>
    <n v="117.8"/>
    <n v="109.7"/>
    <n v="113.5"/>
    <n v="118.9"/>
    <x v="0"/>
  </r>
  <r>
    <x v="2"/>
    <x v="1"/>
    <x v="6"/>
    <x v="19"/>
    <n v="122.4"/>
    <n v="123.9"/>
    <n v="117.8"/>
    <n v="121"/>
    <n v="107.9"/>
    <n v="131.19999999999999"/>
    <n v="157.69999999999999"/>
    <n v="113.2"/>
    <n v="104.1"/>
    <n v="115.5"/>
    <n v="114.8"/>
    <n v="122.1"/>
    <n v="124.7"/>
    <n v="118.8"/>
    <n v="119.6"/>
    <n v="116.3"/>
    <n v="119.1"/>
    <n v="114.8"/>
    <n v="113.9"/>
    <n v="115.2"/>
    <n v="112.7"/>
    <n v="113.1"/>
    <n v="112.1"/>
    <n v="116.8"/>
    <n v="109.2"/>
    <n v="113.3"/>
    <n v="119.2"/>
    <x v="0"/>
  </r>
  <r>
    <x v="0"/>
    <x v="1"/>
    <x v="7"/>
    <x v="20"/>
    <n v="121.8"/>
    <n v="122.8"/>
    <n v="117.8"/>
    <n v="121.9"/>
    <n v="110.6"/>
    <n v="129.69999999999999"/>
    <n v="161.1"/>
    <n v="114.1"/>
    <n v="105.1"/>
    <n v="114.6"/>
    <n v="115.8"/>
    <n v="121.7"/>
    <n v="125.3"/>
    <n v="118.8"/>
    <n v="120.9"/>
    <n v="118.8"/>
    <n v="120.7"/>
    <s v="NA"/>
    <n v="115.4"/>
    <n v="115.9"/>
    <n v="114"/>
    <n v="113.2"/>
    <n v="112.2"/>
    <n v="116.2"/>
    <n v="109.4"/>
    <n v="113.5"/>
    <n v="120.7"/>
    <x v="0"/>
  </r>
  <r>
    <x v="1"/>
    <x v="1"/>
    <x v="7"/>
    <x v="20"/>
    <n v="124.8"/>
    <n v="127.3"/>
    <n v="116.5"/>
    <n v="122.2"/>
    <n v="103.6"/>
    <n v="132.69999999999999"/>
    <n v="181.9"/>
    <n v="115.2"/>
    <n v="102.7"/>
    <n v="122.1"/>
    <n v="114.4"/>
    <n v="124.7"/>
    <n v="128.9"/>
    <n v="123"/>
    <n v="118.6"/>
    <n v="114.1"/>
    <n v="117.9"/>
    <n v="115.5"/>
    <n v="111.8"/>
    <n v="115.3"/>
    <n v="112.2"/>
    <n v="112.5"/>
    <n v="112.9"/>
    <n v="119.2"/>
    <n v="110.5"/>
    <n v="113.9"/>
    <n v="119.9"/>
    <x v="0"/>
  </r>
  <r>
    <x v="2"/>
    <x v="1"/>
    <x v="7"/>
    <x v="20"/>
    <n v="122.7"/>
    <n v="124.4"/>
    <n v="117.3"/>
    <n v="122"/>
    <n v="108"/>
    <n v="131.1"/>
    <n v="168.2"/>
    <n v="114.5"/>
    <n v="104.3"/>
    <n v="117.1"/>
    <n v="115.2"/>
    <n v="123.1"/>
    <n v="126.6"/>
    <n v="119.9"/>
    <n v="120"/>
    <n v="116.8"/>
    <n v="119.6"/>
    <n v="115.5"/>
    <n v="114"/>
    <n v="115.6"/>
    <n v="113.3"/>
    <n v="112.8"/>
    <n v="112.6"/>
    <n v="118"/>
    <n v="109.9"/>
    <n v="113.7"/>
    <n v="120.3"/>
    <x v="0"/>
  </r>
  <r>
    <x v="0"/>
    <x v="1"/>
    <x v="8"/>
    <x v="21"/>
    <n v="122.3"/>
    <n v="122.4"/>
    <n v="117.8"/>
    <n v="122.7"/>
    <n v="110.4"/>
    <n v="129.80000000000001"/>
    <n v="158.80000000000001"/>
    <n v="115"/>
    <n v="104.7"/>
    <n v="114.9"/>
    <n v="116.5"/>
    <n v="122.6"/>
    <n v="125.3"/>
    <n v="119.5"/>
    <n v="121.7"/>
    <n v="119.2"/>
    <n v="121.3"/>
    <s v="NA"/>
    <n v="115.8"/>
    <n v="116.7"/>
    <n v="114.5"/>
    <n v="112.8"/>
    <n v="112.6"/>
    <n v="116.6"/>
    <n v="109.1"/>
    <n v="113.7"/>
    <n v="120.9"/>
    <x v="0"/>
  </r>
  <r>
    <x v="1"/>
    <x v="1"/>
    <x v="8"/>
    <x v="21"/>
    <n v="124.2"/>
    <n v="125.4"/>
    <n v="116.4"/>
    <n v="122.7"/>
    <n v="103.5"/>
    <n v="124.5"/>
    <n v="168.6"/>
    <n v="116.9"/>
    <n v="101.9"/>
    <n v="122.9"/>
    <n v="114.8"/>
    <n v="125.2"/>
    <n v="126.7"/>
    <n v="124.3"/>
    <n v="119.2"/>
    <n v="114.5"/>
    <n v="118.4"/>
    <n v="116.1"/>
    <n v="111.8"/>
    <n v="115.5"/>
    <n v="112.3"/>
    <n v="111.2"/>
    <n v="113.4"/>
    <n v="120"/>
    <n v="110"/>
    <n v="113.6"/>
    <n v="119.2"/>
    <x v="0"/>
  </r>
  <r>
    <x v="2"/>
    <x v="1"/>
    <x v="8"/>
    <x v="21"/>
    <n v="122.9"/>
    <n v="123.5"/>
    <n v="117.3"/>
    <n v="122.7"/>
    <n v="107.9"/>
    <n v="127.3"/>
    <n v="162.1"/>
    <n v="115.6"/>
    <n v="103.8"/>
    <n v="117.6"/>
    <n v="115.8"/>
    <n v="123.8"/>
    <n v="125.8"/>
    <n v="120.8"/>
    <n v="120.7"/>
    <n v="117.2"/>
    <n v="120.1"/>
    <n v="116.1"/>
    <n v="114.3"/>
    <n v="116.1"/>
    <n v="113.7"/>
    <n v="112"/>
    <n v="113.1"/>
    <n v="118.6"/>
    <n v="109.5"/>
    <n v="113.7"/>
    <n v="120.1"/>
    <x v="0"/>
  </r>
  <r>
    <x v="0"/>
    <x v="1"/>
    <x v="9"/>
    <x v="22"/>
    <n v="122.6"/>
    <n v="122.5"/>
    <n v="118.3"/>
    <n v="123.2"/>
    <n v="110.5"/>
    <n v="128.9"/>
    <n v="155.30000000000001"/>
    <n v="115.5"/>
    <n v="104"/>
    <n v="115.3"/>
    <n v="116.8"/>
    <n v="123.2"/>
    <n v="125.1"/>
    <n v="120"/>
    <n v="122.7"/>
    <n v="120.3"/>
    <n v="122.3"/>
    <s v="NA"/>
    <n v="116.4"/>
    <n v="117.5"/>
    <n v="115.3"/>
    <n v="112.6"/>
    <n v="113"/>
    <n v="116.9"/>
    <n v="109.3"/>
    <n v="114"/>
    <n v="121"/>
    <x v="0"/>
  </r>
  <r>
    <x v="1"/>
    <x v="1"/>
    <x v="9"/>
    <x v="22"/>
    <n v="124.6"/>
    <n v="126.1"/>
    <n v="117.8"/>
    <n v="123.1"/>
    <n v="103.5"/>
    <n v="123.5"/>
    <n v="159.6"/>
    <n v="117.4"/>
    <n v="101.2"/>
    <n v="123.8"/>
    <n v="115.2"/>
    <n v="125.9"/>
    <n v="125.8"/>
    <n v="124.3"/>
    <n v="119.6"/>
    <n v="114.9"/>
    <n v="118.9"/>
    <n v="116.7"/>
    <n v="112"/>
    <n v="115.8"/>
    <n v="112.6"/>
    <n v="111"/>
    <n v="113.6"/>
    <n v="120.2"/>
    <n v="110.1"/>
    <n v="113.7"/>
    <n v="119.1"/>
    <x v="0"/>
  </r>
  <r>
    <x v="2"/>
    <x v="1"/>
    <x v="9"/>
    <x v="22"/>
    <n v="123.2"/>
    <n v="123.8"/>
    <n v="118.1"/>
    <n v="123.2"/>
    <n v="107.9"/>
    <n v="126.4"/>
    <n v="156.80000000000001"/>
    <n v="116.1"/>
    <n v="103.1"/>
    <n v="118.1"/>
    <n v="116.1"/>
    <n v="124.5"/>
    <n v="125.4"/>
    <n v="121.1"/>
    <n v="121.5"/>
    <n v="118.1"/>
    <n v="121"/>
    <n v="116.7"/>
    <n v="114.7"/>
    <n v="116.7"/>
    <n v="114.3"/>
    <n v="111.8"/>
    <n v="113.3"/>
    <n v="118.8"/>
    <n v="109.6"/>
    <n v="113.9"/>
    <n v="120.1"/>
    <x v="0"/>
  </r>
  <r>
    <x v="0"/>
    <x v="1"/>
    <x v="11"/>
    <x v="23"/>
    <n v="122.7"/>
    <n v="122.6"/>
    <n v="119.9"/>
    <n v="124"/>
    <n v="110.5"/>
    <n v="128.80000000000001"/>
    <n v="152"/>
    <n v="116.2"/>
    <n v="103.3"/>
    <n v="115.8"/>
    <n v="116.8"/>
    <n v="124.5"/>
    <n v="124.9"/>
    <n v="120.8"/>
    <n v="123.3"/>
    <n v="120.5"/>
    <n v="122.9"/>
    <s v="NA"/>
    <n v="117.3"/>
    <n v="118.1"/>
    <n v="115.9"/>
    <n v="112"/>
    <n v="113.3"/>
    <n v="117.2"/>
    <n v="108.8"/>
    <n v="114.1"/>
    <n v="121.1"/>
    <x v="0"/>
  </r>
  <r>
    <x v="1"/>
    <x v="1"/>
    <x v="11"/>
    <x v="23"/>
    <n v="124.5"/>
    <n v="125.6"/>
    <n v="122.7"/>
    <n v="124.6"/>
    <n v="103.2"/>
    <n v="122.2"/>
    <n v="153.19999999999999"/>
    <n v="119.3"/>
    <n v="99.8"/>
    <n v="124.6"/>
    <n v="115.8"/>
    <n v="126.9"/>
    <n v="125.4"/>
    <n v="125.8"/>
    <n v="120.3"/>
    <n v="115.4"/>
    <n v="119.5"/>
    <n v="117.1"/>
    <n v="112.6"/>
    <n v="116.4"/>
    <n v="113"/>
    <n v="109.7"/>
    <n v="114"/>
    <n v="120.3"/>
    <n v="109.6"/>
    <n v="113.4"/>
    <n v="119"/>
    <x v="0"/>
  </r>
  <r>
    <x v="2"/>
    <x v="1"/>
    <x v="11"/>
    <x v="23"/>
    <n v="123.3"/>
    <n v="123.7"/>
    <n v="121"/>
    <n v="124.2"/>
    <n v="107.8"/>
    <n v="125.7"/>
    <n v="152.4"/>
    <n v="117.2"/>
    <n v="102.1"/>
    <n v="118.7"/>
    <n v="116.4"/>
    <n v="125.6"/>
    <n v="125.1"/>
    <n v="122.1"/>
    <n v="122.1"/>
    <n v="118.4"/>
    <n v="121.6"/>
    <n v="117.1"/>
    <n v="115.5"/>
    <n v="117.3"/>
    <n v="114.8"/>
    <n v="110.8"/>
    <n v="113.7"/>
    <n v="119"/>
    <n v="109.1"/>
    <n v="113.8"/>
    <n v="120.1"/>
    <x v="0"/>
  </r>
  <r>
    <x v="0"/>
    <x v="1"/>
    <x v="12"/>
    <x v="24"/>
    <n v="122.4"/>
    <n v="122.4"/>
    <n v="121.8"/>
    <n v="124.2"/>
    <n v="110.2"/>
    <n v="128.6"/>
    <n v="140.30000000000001"/>
    <n v="116.3"/>
    <n v="102"/>
    <n v="116"/>
    <n v="117.3"/>
    <n v="124.8"/>
    <n v="123.3"/>
    <n v="121.7"/>
    <n v="123.8"/>
    <n v="120.6"/>
    <n v="123.3"/>
    <s v="NA"/>
    <n v="117.4"/>
    <n v="118.2"/>
    <n v="116.2"/>
    <n v="111.5"/>
    <n v="113.3"/>
    <n v="117.7"/>
    <n v="109.4"/>
    <n v="114.2"/>
    <n v="120.3"/>
    <x v="0"/>
  </r>
  <r>
    <x v="1"/>
    <x v="1"/>
    <x v="12"/>
    <x v="24"/>
    <n v="124"/>
    <n v="124.7"/>
    <n v="126.3"/>
    <n v="124.9"/>
    <n v="103"/>
    <n v="122.3"/>
    <n v="141"/>
    <n v="120.1"/>
    <n v="97.8"/>
    <n v="125.4"/>
    <n v="116.1"/>
    <n v="127.6"/>
    <n v="124"/>
    <n v="126.4"/>
    <n v="120.7"/>
    <n v="115.8"/>
    <n v="120"/>
    <n v="116.5"/>
    <n v="113"/>
    <n v="116.8"/>
    <n v="113.2"/>
    <n v="108.8"/>
    <n v="114.3"/>
    <n v="120.7"/>
    <n v="110.4"/>
    <n v="113.4"/>
    <n v="118.4"/>
    <x v="0"/>
  </r>
  <r>
    <x v="2"/>
    <x v="1"/>
    <x v="12"/>
    <x v="24"/>
    <n v="122.9"/>
    <n v="123.2"/>
    <n v="123.5"/>
    <n v="124.5"/>
    <n v="107.6"/>
    <n v="125.7"/>
    <n v="140.5"/>
    <n v="117.6"/>
    <n v="100.6"/>
    <n v="119.1"/>
    <n v="116.8"/>
    <n v="126.1"/>
    <n v="123.6"/>
    <n v="123"/>
    <n v="122.6"/>
    <n v="118.6"/>
    <n v="122"/>
    <n v="116.5"/>
    <n v="115.7"/>
    <n v="117.5"/>
    <n v="115.1"/>
    <n v="110.1"/>
    <n v="113.9"/>
    <n v="119.5"/>
    <n v="109.8"/>
    <n v="113.8"/>
    <n v="119.4"/>
    <x v="0"/>
  </r>
  <r>
    <x v="0"/>
    <x v="2"/>
    <x v="0"/>
    <x v="25"/>
    <n v="123.1"/>
    <n v="123.1"/>
    <n v="122.1"/>
    <n v="124.9"/>
    <n v="111"/>
    <n v="130.4"/>
    <n v="132.30000000000001"/>
    <n v="117.2"/>
    <n v="100.5"/>
    <n v="117.2"/>
    <n v="117.9"/>
    <n v="125.6"/>
    <n v="122.8"/>
    <n v="122.7"/>
    <n v="124.4"/>
    <n v="121.6"/>
    <n v="124"/>
    <s v="NA"/>
    <n v="118.4"/>
    <n v="118.9"/>
    <n v="116.6"/>
    <n v="111"/>
    <n v="114"/>
    <n v="118.2"/>
    <n v="110.2"/>
    <n v="114.5"/>
    <n v="120.3"/>
    <x v="0"/>
  </r>
  <r>
    <x v="1"/>
    <x v="2"/>
    <x v="0"/>
    <x v="25"/>
    <n v="124"/>
    <n v="125.5"/>
    <n v="126.6"/>
    <n v="125.2"/>
    <n v="104.3"/>
    <n v="121.3"/>
    <n v="134.4"/>
    <n v="122.9"/>
    <n v="96.1"/>
    <n v="126.6"/>
    <n v="116.5"/>
    <n v="128"/>
    <n v="123.5"/>
    <n v="127.4"/>
    <n v="121"/>
    <n v="116.1"/>
    <n v="120.2"/>
    <n v="117.3"/>
    <n v="113.4"/>
    <n v="117.2"/>
    <n v="113.7"/>
    <n v="107.9"/>
    <n v="114.6"/>
    <n v="120.8"/>
    <n v="111.4"/>
    <n v="113.4"/>
    <n v="118.5"/>
    <x v="0"/>
  </r>
  <r>
    <x v="2"/>
    <x v="2"/>
    <x v="0"/>
    <x v="25"/>
    <n v="123.4"/>
    <n v="123.9"/>
    <n v="123.8"/>
    <n v="125"/>
    <n v="108.5"/>
    <n v="126.2"/>
    <n v="133"/>
    <n v="119.1"/>
    <n v="99"/>
    <n v="120.3"/>
    <n v="117.3"/>
    <n v="126.7"/>
    <n v="123.1"/>
    <n v="124"/>
    <n v="123.1"/>
    <n v="119.3"/>
    <n v="122.5"/>
    <n v="117.3"/>
    <n v="116.5"/>
    <n v="118.1"/>
    <n v="115.5"/>
    <n v="109.4"/>
    <n v="114.3"/>
    <n v="119.7"/>
    <n v="110.7"/>
    <n v="114"/>
    <n v="119.5"/>
    <x v="0"/>
  </r>
  <r>
    <x v="0"/>
    <x v="2"/>
    <x v="1"/>
    <x v="26"/>
    <n v="123.4"/>
    <n v="124.4"/>
    <n v="122.1"/>
    <n v="125.8"/>
    <n v="111.5"/>
    <n v="129.4"/>
    <n v="128.19999999999999"/>
    <n v="118.8"/>
    <n v="100"/>
    <n v="118.6"/>
    <n v="118.8"/>
    <n v="126.8"/>
    <n v="122.8"/>
    <n v="124.2"/>
    <n v="125.4"/>
    <n v="122.7"/>
    <n v="125"/>
    <s v="NA"/>
    <n v="120"/>
    <n v="119.6"/>
    <n v="117.7"/>
    <n v="110.9"/>
    <n v="114.8"/>
    <n v="118.7"/>
    <n v="110.8"/>
    <n v="115"/>
    <n v="120.6"/>
    <x v="0"/>
  </r>
  <r>
    <x v="1"/>
    <x v="2"/>
    <x v="1"/>
    <x v="26"/>
    <n v="124.3"/>
    <n v="126.5"/>
    <n v="119.5"/>
    <n v="125.6"/>
    <n v="104.9"/>
    <n v="121.6"/>
    <n v="131.80000000000001"/>
    <n v="125.1"/>
    <n v="95"/>
    <n v="127.7"/>
    <n v="116.8"/>
    <n v="128.6"/>
    <n v="123.7"/>
    <n v="128.1"/>
    <n v="121.3"/>
    <n v="116.5"/>
    <n v="120.6"/>
    <n v="118.1"/>
    <n v="114"/>
    <n v="117.7"/>
    <n v="114.1"/>
    <n v="106.8"/>
    <n v="114.9"/>
    <n v="120.4"/>
    <n v="111.7"/>
    <n v="113.2"/>
    <n v="118.7"/>
    <x v="0"/>
  </r>
  <r>
    <x v="2"/>
    <x v="2"/>
    <x v="1"/>
    <x v="26"/>
    <n v="123.7"/>
    <n v="125.1"/>
    <n v="121.1"/>
    <n v="125.7"/>
    <n v="109.1"/>
    <n v="125.8"/>
    <n v="129.4"/>
    <n v="120.9"/>
    <n v="98.3"/>
    <n v="121.6"/>
    <n v="118"/>
    <n v="127.6"/>
    <n v="123.1"/>
    <n v="125.2"/>
    <n v="123.8"/>
    <n v="120.1"/>
    <n v="123.3"/>
    <n v="118.1"/>
    <n v="117.7"/>
    <n v="118.7"/>
    <n v="116.3"/>
    <n v="108.7"/>
    <n v="114.9"/>
    <n v="119.7"/>
    <n v="111.2"/>
    <n v="114.1"/>
    <n v="119.7"/>
    <x v="0"/>
  </r>
  <r>
    <x v="0"/>
    <x v="2"/>
    <x v="2"/>
    <x v="27"/>
    <n v="123.3"/>
    <n v="124.7"/>
    <n v="118.9"/>
    <n v="126"/>
    <n v="111.8"/>
    <n v="130.9"/>
    <n v="128"/>
    <n v="119.9"/>
    <n v="98.9"/>
    <n v="119.4"/>
    <n v="118.9"/>
    <n v="127.7"/>
    <n v="123.1"/>
    <n v="124.7"/>
    <n v="126"/>
    <n v="122.9"/>
    <n v="125.5"/>
    <s v="NA"/>
    <n v="120.6"/>
    <n v="120.2"/>
    <n v="118.2"/>
    <n v="111.6"/>
    <n v="115.5"/>
    <n v="119.4"/>
    <n v="110.8"/>
    <n v="115.5"/>
    <n v="121.1"/>
    <x v="0"/>
  </r>
  <r>
    <x v="1"/>
    <x v="2"/>
    <x v="2"/>
    <x v="27"/>
    <n v="124"/>
    <n v="126.7"/>
    <n v="113.5"/>
    <n v="125.9"/>
    <n v="104.8"/>
    <n v="123.8"/>
    <n v="131.4"/>
    <n v="127.2"/>
    <n v="93.2"/>
    <n v="127.4"/>
    <n v="117"/>
    <n v="129.19999999999999"/>
    <n v="123.9"/>
    <n v="128.80000000000001"/>
    <n v="121.7"/>
    <n v="116.9"/>
    <n v="120.9"/>
    <n v="118.6"/>
    <n v="114.4"/>
    <n v="118"/>
    <n v="114.3"/>
    <n v="108.4"/>
    <n v="115.4"/>
    <n v="120.6"/>
    <n v="111.3"/>
    <n v="113.8"/>
    <n v="119.1"/>
    <x v="0"/>
  </r>
  <r>
    <x v="2"/>
    <x v="2"/>
    <x v="2"/>
    <x v="27"/>
    <n v="123.5"/>
    <n v="125.4"/>
    <n v="116.8"/>
    <n v="126"/>
    <n v="109.2"/>
    <n v="127.6"/>
    <n v="129.19999999999999"/>
    <n v="122.4"/>
    <n v="97"/>
    <n v="122.1"/>
    <n v="118.1"/>
    <n v="128.4"/>
    <n v="123.4"/>
    <n v="125.8"/>
    <n v="124.3"/>
    <n v="120.4"/>
    <n v="123.7"/>
    <n v="118.6"/>
    <n v="118.3"/>
    <n v="119.2"/>
    <n v="116.7"/>
    <n v="109.9"/>
    <n v="115.4"/>
    <n v="120.1"/>
    <n v="111"/>
    <n v="114.7"/>
    <n v="120.2"/>
    <x v="0"/>
  </r>
  <r>
    <x v="0"/>
    <x v="2"/>
    <x v="3"/>
    <x v="28"/>
    <n v="123.3"/>
    <n v="125.5"/>
    <n v="117.2"/>
    <n v="126.8"/>
    <n v="111.9"/>
    <n v="134.19999999999999"/>
    <n v="127.5"/>
    <n v="121.5"/>
    <n v="97.8"/>
    <n v="119.8"/>
    <n v="119.4"/>
    <n v="128.69999999999999"/>
    <n v="123.6"/>
    <n v="125.7"/>
    <n v="126.4"/>
    <n v="123.3"/>
    <n v="126"/>
    <s v="NA"/>
    <n v="121.2"/>
    <n v="120.9"/>
    <n v="118.6"/>
    <n v="111.9"/>
    <n v="116.2"/>
    <n v="119.9"/>
    <n v="111.6"/>
    <n v="116"/>
    <n v="121.5"/>
    <x v="0"/>
  </r>
  <r>
    <x v="1"/>
    <x v="2"/>
    <x v="3"/>
    <x v="28"/>
    <n v="123.8"/>
    <n v="128.19999999999999"/>
    <n v="110"/>
    <n v="126.3"/>
    <n v="104.5"/>
    <n v="130.6"/>
    <n v="130.80000000000001"/>
    <n v="131.30000000000001"/>
    <n v="91.6"/>
    <n v="127.7"/>
    <n v="117.2"/>
    <n v="129.5"/>
    <n v="124.6"/>
    <n v="130.1"/>
    <n v="122.1"/>
    <n v="117.2"/>
    <n v="121.3"/>
    <n v="119.2"/>
    <n v="114.7"/>
    <n v="118.4"/>
    <n v="114.6"/>
    <n v="108.4"/>
    <n v="115.6"/>
    <n v="121.7"/>
    <n v="111.8"/>
    <n v="114.2"/>
    <n v="119.7"/>
    <x v="0"/>
  </r>
  <r>
    <x v="2"/>
    <x v="2"/>
    <x v="3"/>
    <x v="28"/>
    <n v="123.5"/>
    <n v="126.4"/>
    <n v="114.4"/>
    <n v="126.6"/>
    <n v="109.2"/>
    <n v="132.5"/>
    <n v="128.6"/>
    <n v="124.8"/>
    <n v="95.7"/>
    <n v="122.4"/>
    <n v="118.5"/>
    <n v="129.1"/>
    <n v="124"/>
    <n v="126.9"/>
    <n v="124.7"/>
    <n v="120.8"/>
    <n v="124.1"/>
    <n v="119.2"/>
    <n v="118.7"/>
    <n v="119.7"/>
    <n v="117.1"/>
    <n v="110.1"/>
    <n v="115.9"/>
    <n v="121"/>
    <n v="111.7"/>
    <n v="115.1"/>
    <n v="120.7"/>
    <x v="0"/>
  </r>
  <r>
    <x v="0"/>
    <x v="2"/>
    <x v="4"/>
    <x v="29"/>
    <n v="123.5"/>
    <n v="127.1"/>
    <n v="117.3"/>
    <n v="127.7"/>
    <n v="112.5"/>
    <n v="134.1"/>
    <n v="128.5"/>
    <n v="124.3"/>
    <n v="97.6"/>
    <n v="120.7"/>
    <n v="120.2"/>
    <n v="129.80000000000001"/>
    <n v="124.4"/>
    <n v="126.7"/>
    <n v="127.3"/>
    <n v="124.1"/>
    <n v="126.8"/>
    <s v="NA"/>
    <n v="121.9"/>
    <n v="121.5"/>
    <n v="119.4"/>
    <n v="113.3"/>
    <n v="116.7"/>
    <n v="120.5"/>
    <n v="112.3"/>
    <n v="116.9"/>
    <n v="122.4"/>
    <x v="0"/>
  </r>
  <r>
    <x v="1"/>
    <x v="2"/>
    <x v="4"/>
    <x v="29"/>
    <n v="123.8"/>
    <n v="129.69999999999999"/>
    <n v="111.3"/>
    <n v="126.6"/>
    <n v="105.2"/>
    <n v="130.80000000000001"/>
    <n v="135.6"/>
    <n v="142.6"/>
    <n v="90.8"/>
    <n v="128.80000000000001"/>
    <n v="117.7"/>
    <n v="129.9"/>
    <n v="126.1"/>
    <n v="131.30000000000001"/>
    <n v="122.4"/>
    <n v="117.4"/>
    <n v="121.6"/>
    <n v="119.6"/>
    <n v="114.9"/>
    <n v="118.7"/>
    <n v="114.9"/>
    <n v="110.8"/>
    <n v="116"/>
    <n v="122"/>
    <n v="112.4"/>
    <n v="115.2"/>
    <n v="120.7"/>
    <x v="0"/>
  </r>
  <r>
    <x v="2"/>
    <x v="2"/>
    <x v="4"/>
    <x v="29"/>
    <n v="123.6"/>
    <n v="128"/>
    <n v="115"/>
    <n v="127.3"/>
    <n v="109.8"/>
    <n v="132.6"/>
    <n v="130.9"/>
    <n v="130.5"/>
    <n v="95.3"/>
    <n v="123.4"/>
    <n v="119.2"/>
    <n v="129.80000000000001"/>
    <n v="125"/>
    <n v="127.9"/>
    <n v="125.4"/>
    <n v="121.3"/>
    <n v="124.7"/>
    <n v="119.6"/>
    <n v="119.2"/>
    <n v="120.2"/>
    <n v="117.7"/>
    <n v="112"/>
    <n v="116.3"/>
    <n v="121.4"/>
    <n v="112.3"/>
    <n v="116.1"/>
    <n v="121.6"/>
    <x v="0"/>
  </r>
  <r>
    <x v="0"/>
    <x v="2"/>
    <x v="5"/>
    <x v="30"/>
    <n v="124.1"/>
    <n v="130.4"/>
    <n v="122.1"/>
    <n v="128.69999999999999"/>
    <n v="114.1"/>
    <n v="133.19999999999999"/>
    <n v="135.19999999999999"/>
    <n v="131.9"/>
    <n v="96.3"/>
    <n v="123"/>
    <n v="121.1"/>
    <n v="131.19999999999999"/>
    <n v="126.6"/>
    <n v="128.19999999999999"/>
    <n v="128.4"/>
    <n v="125.1"/>
    <n v="128"/>
    <s v="NA"/>
    <n v="122.6"/>
    <n v="122.8"/>
    <n v="120.4"/>
    <n v="114.2"/>
    <n v="117.9"/>
    <n v="122"/>
    <n v="113"/>
    <n v="117.9"/>
    <n v="124.1"/>
    <x v="0"/>
  </r>
  <r>
    <x v="1"/>
    <x v="2"/>
    <x v="5"/>
    <x v="30"/>
    <n v="123.6"/>
    <n v="134.4"/>
    <n v="120.9"/>
    <n v="127.3"/>
    <n v="106"/>
    <n v="132.30000000000001"/>
    <n v="146.69999999999999"/>
    <n v="148.1"/>
    <n v="89.8"/>
    <n v="130.5"/>
    <n v="118"/>
    <n v="130.5"/>
    <n v="128.5"/>
    <n v="132.1"/>
    <n v="123.2"/>
    <n v="117.6"/>
    <n v="122.3"/>
    <n v="119"/>
    <n v="115.1"/>
    <n v="119.2"/>
    <n v="115.4"/>
    <n v="111.7"/>
    <n v="116.2"/>
    <n v="123.8"/>
    <n v="112.5"/>
    <n v="116"/>
    <n v="121.7"/>
    <x v="0"/>
  </r>
  <r>
    <x v="2"/>
    <x v="2"/>
    <x v="5"/>
    <x v="30"/>
    <n v="123.9"/>
    <n v="131.80000000000001"/>
    <n v="121.6"/>
    <n v="128.19999999999999"/>
    <n v="111.1"/>
    <n v="132.80000000000001"/>
    <n v="139.1"/>
    <n v="137.4"/>
    <n v="94.1"/>
    <n v="125.5"/>
    <n v="119.8"/>
    <n v="130.9"/>
    <n v="127.3"/>
    <n v="129.19999999999999"/>
    <n v="126.4"/>
    <n v="122"/>
    <n v="125.7"/>
    <n v="119"/>
    <n v="119.8"/>
    <n v="121.1"/>
    <n v="118.5"/>
    <n v="112.9"/>
    <n v="116.9"/>
    <n v="123.1"/>
    <n v="112.8"/>
    <n v="117"/>
    <n v="123"/>
    <x v="0"/>
  </r>
  <r>
    <x v="0"/>
    <x v="2"/>
    <x v="6"/>
    <x v="31"/>
    <n v="124"/>
    <n v="131.5"/>
    <n v="122"/>
    <n v="128.69999999999999"/>
    <n v="113.5"/>
    <n v="133.30000000000001"/>
    <n v="140.80000000000001"/>
    <n v="133.80000000000001"/>
    <n v="94.1"/>
    <n v="123.4"/>
    <n v="121"/>
    <n v="131.69999999999999"/>
    <n v="127.5"/>
    <n v="129.4"/>
    <n v="128.80000000000001"/>
    <n v="125.5"/>
    <n v="128.30000000000001"/>
    <s v="NA"/>
    <n v="123"/>
    <n v="123"/>
    <n v="120.8"/>
    <n v="114.1"/>
    <n v="118"/>
    <n v="122.9"/>
    <n v="112.7"/>
    <n v="118.1"/>
    <n v="124.7"/>
    <x v="0"/>
  </r>
  <r>
    <x v="1"/>
    <x v="2"/>
    <x v="6"/>
    <x v="31"/>
    <n v="123.2"/>
    <n v="134.30000000000001"/>
    <n v="119.5"/>
    <n v="127.7"/>
    <n v="106.3"/>
    <n v="132.80000000000001"/>
    <n v="153.5"/>
    <n v="149.5"/>
    <n v="85.7"/>
    <n v="131.5"/>
    <n v="118.3"/>
    <n v="131.1"/>
    <n v="129.5"/>
    <n v="133.1"/>
    <n v="123.5"/>
    <n v="117.9"/>
    <n v="122.7"/>
    <n v="119.9"/>
    <n v="115.3"/>
    <n v="119.5"/>
    <n v="116"/>
    <n v="111.5"/>
    <n v="116.6"/>
    <n v="125.4"/>
    <n v="111.7"/>
    <n v="116.3"/>
    <n v="122.4"/>
    <x v="0"/>
  </r>
  <r>
    <x v="2"/>
    <x v="2"/>
    <x v="6"/>
    <x v="31"/>
    <n v="123.7"/>
    <n v="132.5"/>
    <n v="121"/>
    <n v="128.30000000000001"/>
    <n v="110.9"/>
    <n v="133.1"/>
    <n v="145.1"/>
    <n v="139.1"/>
    <n v="91.3"/>
    <n v="126.1"/>
    <n v="119.9"/>
    <n v="131.4"/>
    <n v="128.19999999999999"/>
    <n v="130.4"/>
    <n v="126.7"/>
    <n v="122.3"/>
    <n v="126.1"/>
    <n v="119.9"/>
    <n v="120.1"/>
    <n v="121.3"/>
    <n v="119"/>
    <n v="112.7"/>
    <n v="117.2"/>
    <n v="124.4"/>
    <n v="112.3"/>
    <n v="117.2"/>
    <n v="123.6"/>
    <x v="0"/>
  </r>
  <r>
    <x v="0"/>
    <x v="2"/>
    <x v="7"/>
    <x v="32"/>
    <n v="124.7"/>
    <n v="131.30000000000001"/>
    <n v="121.3"/>
    <n v="128.80000000000001"/>
    <n v="114"/>
    <n v="134.19999999999999"/>
    <n v="153.6"/>
    <n v="137.9"/>
    <n v="93.1"/>
    <n v="123.9"/>
    <n v="121.5"/>
    <n v="132.5"/>
    <n v="129.80000000000001"/>
    <n v="130.1"/>
    <n v="129.5"/>
    <n v="126.3"/>
    <n v="129"/>
    <s v="NA"/>
    <n v="123.8"/>
    <n v="123.7"/>
    <n v="121.1"/>
    <n v="113.6"/>
    <n v="118.5"/>
    <n v="123.6"/>
    <n v="112.5"/>
    <n v="118.2"/>
    <n v="126.1"/>
    <x v="0"/>
  </r>
  <r>
    <x v="1"/>
    <x v="2"/>
    <x v="7"/>
    <x v="32"/>
    <n v="123.1"/>
    <n v="131.69999999999999"/>
    <n v="118.1"/>
    <n v="128"/>
    <n v="106.8"/>
    <n v="130.1"/>
    <n v="165.5"/>
    <n v="156"/>
    <n v="85.3"/>
    <n v="132.69999999999999"/>
    <n v="118.8"/>
    <n v="131.69999999999999"/>
    <n v="131.1"/>
    <n v="134.19999999999999"/>
    <n v="123.7"/>
    <n v="118.2"/>
    <n v="122.9"/>
    <n v="120.9"/>
    <n v="115.3"/>
    <n v="120"/>
    <n v="116.6"/>
    <n v="109.9"/>
    <n v="117.2"/>
    <n v="126.2"/>
    <n v="112"/>
    <n v="116.2"/>
    <n v="123.2"/>
    <x v="0"/>
  </r>
  <r>
    <x v="2"/>
    <x v="2"/>
    <x v="7"/>
    <x v="32"/>
    <n v="124.2"/>
    <n v="131.4"/>
    <n v="120.1"/>
    <n v="128.5"/>
    <n v="111.4"/>
    <n v="132.30000000000001"/>
    <n v="157.6"/>
    <n v="144"/>
    <n v="90.5"/>
    <n v="126.8"/>
    <n v="120.4"/>
    <n v="132.1"/>
    <n v="130.30000000000001"/>
    <n v="131.19999999999999"/>
    <n v="127.2"/>
    <n v="122.9"/>
    <n v="126.6"/>
    <n v="120.9"/>
    <n v="120.6"/>
    <n v="122"/>
    <n v="119.4"/>
    <n v="111.7"/>
    <n v="117.8"/>
    <n v="125.1"/>
    <n v="112.3"/>
    <n v="117.2"/>
    <n v="124.8"/>
    <x v="0"/>
  </r>
  <r>
    <x v="0"/>
    <x v="2"/>
    <x v="8"/>
    <x v="33"/>
    <n v="125.1"/>
    <n v="131.1"/>
    <n v="120.7"/>
    <n v="129.19999999999999"/>
    <n v="114.7"/>
    <n v="132.30000000000001"/>
    <n v="158.9"/>
    <n v="142.1"/>
    <n v="92.5"/>
    <n v="125.4"/>
    <n v="121.9"/>
    <n v="132.69999999999999"/>
    <n v="131"/>
    <n v="131"/>
    <n v="130.4"/>
    <n v="126.8"/>
    <n v="129.9"/>
    <s v="NA"/>
    <n v="123.7"/>
    <n v="124.5"/>
    <n v="121.4"/>
    <n v="113.8"/>
    <n v="119.6"/>
    <n v="124.5"/>
    <n v="113.7"/>
    <n v="118.8"/>
    <n v="127"/>
    <x v="0"/>
  </r>
  <r>
    <x v="1"/>
    <x v="2"/>
    <x v="8"/>
    <x v="33"/>
    <n v="123.4"/>
    <n v="129"/>
    <n v="115.6"/>
    <n v="128.30000000000001"/>
    <n v="107"/>
    <n v="124"/>
    <n v="168.5"/>
    <n v="165.4"/>
    <n v="86.3"/>
    <n v="134.4"/>
    <n v="119.1"/>
    <n v="132.30000000000001"/>
    <n v="131.5"/>
    <n v="134.69999999999999"/>
    <n v="124"/>
    <n v="118.6"/>
    <n v="123.2"/>
    <n v="121.6"/>
    <n v="115.1"/>
    <n v="120.4"/>
    <n v="117.1"/>
    <n v="109.1"/>
    <n v="117.3"/>
    <n v="126.5"/>
    <n v="112.9"/>
    <n v="116.2"/>
    <n v="123.5"/>
    <x v="0"/>
  </r>
  <r>
    <x v="2"/>
    <x v="2"/>
    <x v="8"/>
    <x v="33"/>
    <n v="124.6"/>
    <n v="130.4"/>
    <n v="118.7"/>
    <n v="128.9"/>
    <n v="111.9"/>
    <n v="128.4"/>
    <n v="162.19999999999999"/>
    <n v="150"/>
    <n v="90.4"/>
    <n v="128.4"/>
    <n v="120.7"/>
    <n v="132.5"/>
    <n v="131.19999999999999"/>
    <n v="132"/>
    <n v="127.9"/>
    <n v="123.4"/>
    <n v="127.2"/>
    <n v="121.6"/>
    <n v="120.4"/>
    <n v="122.6"/>
    <n v="119.8"/>
    <n v="111.3"/>
    <n v="118.3"/>
    <n v="125.7"/>
    <n v="113.4"/>
    <n v="117.5"/>
    <n v="125.4"/>
    <x v="0"/>
  </r>
  <r>
    <x v="0"/>
    <x v="2"/>
    <x v="9"/>
    <x v="34"/>
    <n v="125.6"/>
    <n v="130.4"/>
    <n v="120.8"/>
    <n v="129.4"/>
    <n v="115.8"/>
    <n v="133.19999999999999"/>
    <n v="157.69999999999999"/>
    <n v="154.19999999999999"/>
    <n v="93.7"/>
    <n v="126.6"/>
    <n v="122.3"/>
    <n v="133.1"/>
    <n v="131.80000000000001"/>
    <n v="131.5"/>
    <n v="131.1"/>
    <n v="127.3"/>
    <n v="130.6"/>
    <s v="NA"/>
    <n v="124.4"/>
    <n v="125.1"/>
    <n v="122"/>
    <n v="113.8"/>
    <n v="120.1"/>
    <n v="125.1"/>
    <n v="114.2"/>
    <n v="119.2"/>
    <n v="127.7"/>
    <x v="0"/>
  </r>
  <r>
    <x v="1"/>
    <x v="2"/>
    <x v="9"/>
    <x v="34"/>
    <n v="123.6"/>
    <n v="128.6"/>
    <n v="115.9"/>
    <n v="128.5"/>
    <n v="109"/>
    <n v="124.1"/>
    <n v="165.8"/>
    <n v="187.2"/>
    <n v="89.4"/>
    <n v="135.80000000000001"/>
    <n v="119.4"/>
    <n v="132.9"/>
    <n v="132.6"/>
    <n v="135.30000000000001"/>
    <n v="124.4"/>
    <n v="118.8"/>
    <n v="123.6"/>
    <n v="122.4"/>
    <n v="114.9"/>
    <n v="120.7"/>
    <n v="117.7"/>
    <n v="109.3"/>
    <n v="117.7"/>
    <n v="126.5"/>
    <n v="113.5"/>
    <n v="116.5"/>
    <n v="124.2"/>
    <x v="0"/>
  </r>
  <r>
    <x v="2"/>
    <x v="2"/>
    <x v="9"/>
    <x v="34"/>
    <n v="125"/>
    <n v="129.80000000000001"/>
    <n v="118.9"/>
    <n v="129.1"/>
    <n v="113.3"/>
    <n v="129"/>
    <n v="160.4"/>
    <n v="165.3"/>
    <n v="92.3"/>
    <n v="129.69999999999999"/>
    <n v="121.1"/>
    <n v="133"/>
    <n v="132.1"/>
    <n v="132.5"/>
    <n v="128.5"/>
    <n v="123.8"/>
    <n v="127.8"/>
    <n v="122.4"/>
    <n v="120.8"/>
    <n v="123"/>
    <n v="120.4"/>
    <n v="111.4"/>
    <n v="118.7"/>
    <n v="125.9"/>
    <n v="113.9"/>
    <n v="117.9"/>
    <n v="126.1"/>
    <x v="0"/>
  </r>
  <r>
    <x v="0"/>
    <x v="2"/>
    <x v="11"/>
    <x v="35"/>
    <n v="126.1"/>
    <n v="130.6"/>
    <n v="121.7"/>
    <n v="129.5"/>
    <n v="117.8"/>
    <n v="132.1"/>
    <n v="155.19999999999999"/>
    <n v="160.80000000000001"/>
    <n v="94.5"/>
    <n v="128.30000000000001"/>
    <n v="123.1"/>
    <n v="134.19999999999999"/>
    <n v="132.4"/>
    <n v="132.19999999999999"/>
    <n v="132.1"/>
    <n v="128.19999999999999"/>
    <n v="131.5"/>
    <s v="NA"/>
    <n v="125.6"/>
    <n v="125.6"/>
    <n v="122.6"/>
    <n v="114"/>
    <n v="120.9"/>
    <n v="125.8"/>
    <n v="114.2"/>
    <n v="119.6"/>
    <n v="128.30000000000001"/>
    <x v="0"/>
  </r>
  <r>
    <x v="1"/>
    <x v="2"/>
    <x v="11"/>
    <x v="35"/>
    <n v="124"/>
    <n v="129.80000000000001"/>
    <n v="121.5"/>
    <n v="128.6"/>
    <n v="110"/>
    <n v="123.7"/>
    <n v="164.6"/>
    <n v="191.6"/>
    <n v="90.8"/>
    <n v="137.1"/>
    <n v="119.8"/>
    <n v="133.69999999999999"/>
    <n v="133.30000000000001"/>
    <n v="137.6"/>
    <n v="125"/>
    <n v="119.3"/>
    <n v="124.2"/>
    <n v="122.9"/>
    <n v="115.1"/>
    <n v="121"/>
    <n v="118.1"/>
    <n v="109.3"/>
    <n v="117.9"/>
    <n v="126.6"/>
    <n v="113.3"/>
    <n v="116.6"/>
    <n v="124.6"/>
    <x v="0"/>
  </r>
  <r>
    <x v="2"/>
    <x v="2"/>
    <x v="11"/>
    <x v="35"/>
    <n v="125.4"/>
    <n v="130.30000000000001"/>
    <n v="121.6"/>
    <n v="129.19999999999999"/>
    <n v="114.9"/>
    <n v="128.19999999999999"/>
    <n v="158.4"/>
    <n v="171.2"/>
    <n v="93.3"/>
    <n v="131.19999999999999"/>
    <n v="121.7"/>
    <n v="134"/>
    <n v="132.69999999999999"/>
    <n v="133.6"/>
    <n v="129.30000000000001"/>
    <n v="124.5"/>
    <n v="128.6"/>
    <n v="122.9"/>
    <n v="121.6"/>
    <n v="123.4"/>
    <n v="120.9"/>
    <n v="111.5"/>
    <n v="119.2"/>
    <n v="126.3"/>
    <n v="113.8"/>
    <n v="118.1"/>
    <n v="126.6"/>
    <x v="0"/>
  </r>
  <r>
    <x v="0"/>
    <x v="2"/>
    <x v="12"/>
    <x v="36"/>
    <n v="126.3"/>
    <n v="131.30000000000001"/>
    <n v="123.3"/>
    <n v="129.80000000000001"/>
    <n v="118.3"/>
    <n v="131.6"/>
    <n v="145.5"/>
    <n v="162.1"/>
    <n v="95.4"/>
    <n v="128.9"/>
    <n v="123.3"/>
    <n v="135.1"/>
    <n v="131.4"/>
    <n v="133.1"/>
    <n v="132.5"/>
    <n v="128.5"/>
    <n v="131.9"/>
    <s v="NA"/>
    <n v="125.7"/>
    <n v="126"/>
    <n v="123.1"/>
    <n v="114"/>
    <n v="121.6"/>
    <n v="125.6"/>
    <n v="114.1"/>
    <n v="119.8"/>
    <n v="127.9"/>
    <x v="0"/>
  </r>
  <r>
    <x v="1"/>
    <x v="2"/>
    <x v="12"/>
    <x v="36"/>
    <n v="124.3"/>
    <n v="131.69999999999999"/>
    <n v="127.1"/>
    <n v="128.6"/>
    <n v="110"/>
    <n v="120.8"/>
    <n v="149"/>
    <n v="190.1"/>
    <n v="92.7"/>
    <n v="138.6"/>
    <n v="120.2"/>
    <n v="134.19999999999999"/>
    <n v="131.5"/>
    <n v="138.19999999999999"/>
    <n v="125.4"/>
    <n v="119.5"/>
    <n v="124.5"/>
    <n v="122.4"/>
    <n v="116"/>
    <n v="121"/>
    <n v="118.6"/>
    <n v="109.3"/>
    <n v="118.1"/>
    <n v="126.6"/>
    <n v="113.2"/>
    <n v="116.7"/>
    <n v="124"/>
    <x v="0"/>
  </r>
  <r>
    <x v="2"/>
    <x v="2"/>
    <x v="12"/>
    <x v="36"/>
    <n v="125.7"/>
    <n v="131.4"/>
    <n v="124.8"/>
    <n v="129.4"/>
    <n v="115.3"/>
    <n v="126.6"/>
    <n v="146.69999999999999"/>
    <n v="171.5"/>
    <n v="94.5"/>
    <n v="132.1"/>
    <n v="122"/>
    <n v="134.69999999999999"/>
    <n v="131.4"/>
    <n v="134.5"/>
    <n v="129.69999999999999"/>
    <n v="124.8"/>
    <n v="129"/>
    <n v="122.4"/>
    <n v="122"/>
    <n v="123.6"/>
    <n v="121.4"/>
    <n v="111.5"/>
    <n v="119.6"/>
    <n v="126.2"/>
    <n v="113.7"/>
    <n v="118.3"/>
    <n v="126.1"/>
    <x v="0"/>
  </r>
  <r>
    <x v="0"/>
    <x v="3"/>
    <x v="0"/>
    <x v="37"/>
    <n v="126.8"/>
    <n v="133.19999999999999"/>
    <n v="126.5"/>
    <n v="130.30000000000001"/>
    <n v="118.9"/>
    <n v="131.6"/>
    <n v="140.1"/>
    <n v="163.80000000000001"/>
    <n v="97.7"/>
    <n v="129.6"/>
    <n v="124.3"/>
    <n v="135.9"/>
    <n v="131.4"/>
    <n v="133.6"/>
    <n v="133.19999999999999"/>
    <n v="128.9"/>
    <n v="132.6"/>
    <s v="NA"/>
    <n v="126.2"/>
    <n v="126.6"/>
    <n v="123.7"/>
    <n v="113.6"/>
    <n v="121.4"/>
    <n v="126.2"/>
    <n v="114.9"/>
    <n v="120.1"/>
    <n v="128.1"/>
    <x v="0"/>
  </r>
  <r>
    <x v="1"/>
    <x v="3"/>
    <x v="0"/>
    <x v="37"/>
    <n v="124.7"/>
    <n v="135.9"/>
    <n v="132"/>
    <n v="129.19999999999999"/>
    <n v="109.7"/>
    <n v="119"/>
    <n v="144.1"/>
    <n v="184.2"/>
    <n v="96.7"/>
    <n v="139.5"/>
    <n v="120.5"/>
    <n v="134.69999999999999"/>
    <n v="131.19999999999999"/>
    <n v="139.5"/>
    <n v="125.8"/>
    <n v="119.8"/>
    <n v="124.9"/>
    <n v="123.4"/>
    <n v="116.9"/>
    <n v="121.6"/>
    <n v="119.1"/>
    <n v="108.9"/>
    <n v="118.5"/>
    <n v="126.4"/>
    <n v="114"/>
    <n v="116.8"/>
    <n v="124.2"/>
    <x v="0"/>
  </r>
  <r>
    <x v="2"/>
    <x v="3"/>
    <x v="0"/>
    <x v="37"/>
    <n v="126.1"/>
    <n v="134.1"/>
    <n v="128.6"/>
    <n v="129.9"/>
    <n v="115.5"/>
    <n v="125.7"/>
    <n v="141.5"/>
    <n v="170.7"/>
    <n v="97.4"/>
    <n v="132.9"/>
    <n v="122.7"/>
    <n v="135.30000000000001"/>
    <n v="131.30000000000001"/>
    <n v="135.19999999999999"/>
    <n v="130.30000000000001"/>
    <n v="125.1"/>
    <n v="129.5"/>
    <n v="123.4"/>
    <n v="122.7"/>
    <n v="124.2"/>
    <n v="122"/>
    <n v="111.1"/>
    <n v="119.8"/>
    <n v="126.3"/>
    <n v="114.5"/>
    <n v="118.5"/>
    <n v="126.3"/>
    <x v="0"/>
  </r>
  <r>
    <x v="0"/>
    <x v="3"/>
    <x v="1"/>
    <x v="38"/>
    <n v="127.1"/>
    <n v="133.69999999999999"/>
    <n v="127.7"/>
    <n v="130.69999999999999"/>
    <n v="118.5"/>
    <n v="130.4"/>
    <n v="130.9"/>
    <n v="162.80000000000001"/>
    <n v="98.7"/>
    <n v="130.6"/>
    <n v="124.8"/>
    <n v="136.4"/>
    <n v="130.30000000000001"/>
    <n v="134.4"/>
    <n v="133.9"/>
    <n v="129.80000000000001"/>
    <n v="133.4"/>
    <s v="NA"/>
    <n v="127.5"/>
    <n v="127.1"/>
    <n v="124.3"/>
    <n v="113.9"/>
    <n v="122.3"/>
    <n v="127.1"/>
    <n v="116.8"/>
    <n v="120.9"/>
    <n v="127.9"/>
    <x v="0"/>
  </r>
  <r>
    <x v="1"/>
    <x v="3"/>
    <x v="1"/>
    <x v="38"/>
    <n v="124.8"/>
    <n v="135.1"/>
    <n v="130.30000000000001"/>
    <n v="129.6"/>
    <n v="108.4"/>
    <n v="118.6"/>
    <n v="129.19999999999999"/>
    <n v="176.4"/>
    <n v="99.1"/>
    <n v="139.69999999999999"/>
    <n v="120.6"/>
    <n v="135.19999999999999"/>
    <n v="129.1"/>
    <n v="140"/>
    <n v="126.2"/>
    <n v="120.1"/>
    <n v="125.3"/>
    <n v="124.4"/>
    <n v="116"/>
    <n v="121.8"/>
    <n v="119.5"/>
    <n v="109.1"/>
    <n v="118.8"/>
    <n v="126.3"/>
    <n v="116.2"/>
    <n v="117.2"/>
    <n v="123.8"/>
    <x v="0"/>
  </r>
  <r>
    <x v="2"/>
    <x v="3"/>
    <x v="1"/>
    <x v="38"/>
    <n v="126.4"/>
    <n v="134.19999999999999"/>
    <n v="128.69999999999999"/>
    <n v="130.30000000000001"/>
    <n v="114.8"/>
    <n v="124.9"/>
    <n v="130.30000000000001"/>
    <n v="167.4"/>
    <n v="98.8"/>
    <n v="133.6"/>
    <n v="123"/>
    <n v="135.80000000000001"/>
    <n v="129.9"/>
    <n v="135.9"/>
    <n v="130.9"/>
    <n v="125.8"/>
    <n v="130.19999999999999"/>
    <n v="124.4"/>
    <n v="123.1"/>
    <n v="124.6"/>
    <n v="122.5"/>
    <n v="111.4"/>
    <n v="120.3"/>
    <n v="126.6"/>
    <n v="116.6"/>
    <n v="119.1"/>
    <n v="126"/>
    <x v="0"/>
  </r>
  <r>
    <x v="0"/>
    <x v="3"/>
    <x v="2"/>
    <x v="39"/>
    <n v="127.3"/>
    <n v="134.4"/>
    <n v="125.1"/>
    <n v="130.5"/>
    <n v="118.3"/>
    <n v="131.69999999999999"/>
    <n v="130.69999999999999"/>
    <n v="161.19999999999999"/>
    <n v="100.4"/>
    <n v="130.80000000000001"/>
    <n v="124.9"/>
    <n v="137"/>
    <n v="130.4"/>
    <n v="135"/>
    <n v="134.4"/>
    <n v="130.19999999999999"/>
    <n v="133.80000000000001"/>
    <s v="NA"/>
    <n v="127"/>
    <n v="127.7"/>
    <n v="124.8"/>
    <n v="113.6"/>
    <n v="122.5"/>
    <n v="127.5"/>
    <n v="117.4"/>
    <n v="121.1"/>
    <n v="128"/>
    <x v="0"/>
  </r>
  <r>
    <x v="1"/>
    <x v="3"/>
    <x v="2"/>
    <x v="39"/>
    <n v="124.8"/>
    <n v="136.30000000000001"/>
    <n v="123.7"/>
    <n v="129.69999999999999"/>
    <n v="107.9"/>
    <n v="119.9"/>
    <n v="128.1"/>
    <n v="170.3"/>
    <n v="101.8"/>
    <n v="140.1"/>
    <n v="120.7"/>
    <n v="135.4"/>
    <n v="128.9"/>
    <n v="140.6"/>
    <n v="126.4"/>
    <n v="120.3"/>
    <n v="125.5"/>
    <n v="124.9"/>
    <n v="114.8"/>
    <n v="122.3"/>
    <n v="119.7"/>
    <n v="108.5"/>
    <n v="119.1"/>
    <n v="126.4"/>
    <n v="117.1"/>
    <n v="117.3"/>
    <n v="123.8"/>
    <x v="0"/>
  </r>
  <r>
    <x v="2"/>
    <x v="3"/>
    <x v="2"/>
    <x v="39"/>
    <n v="126.5"/>
    <n v="135.1"/>
    <n v="124.6"/>
    <n v="130.19999999999999"/>
    <n v="114.5"/>
    <n v="126.2"/>
    <n v="129.80000000000001"/>
    <n v="164.3"/>
    <n v="100.9"/>
    <n v="133.9"/>
    <n v="123.1"/>
    <n v="136.30000000000001"/>
    <n v="129.80000000000001"/>
    <n v="136.5"/>
    <n v="131.30000000000001"/>
    <n v="126.1"/>
    <n v="130.5"/>
    <n v="124.9"/>
    <n v="122.4"/>
    <n v="125.1"/>
    <n v="122.9"/>
    <n v="110.9"/>
    <n v="120.6"/>
    <n v="126.9"/>
    <n v="117.3"/>
    <n v="119.3"/>
    <n v="126"/>
    <x v="0"/>
  </r>
  <r>
    <x v="0"/>
    <x v="3"/>
    <x v="3"/>
    <x v="40"/>
    <n v="127.4"/>
    <n v="135.4"/>
    <n v="123.4"/>
    <n v="131.30000000000001"/>
    <n v="118.2"/>
    <n v="138.1"/>
    <n v="134.1"/>
    <n v="162.69999999999999"/>
    <n v="105"/>
    <n v="131.4"/>
    <n v="125.4"/>
    <n v="137.4"/>
    <n v="131.80000000000001"/>
    <n v="135.5"/>
    <n v="135"/>
    <n v="130.6"/>
    <n v="134.4"/>
    <s v="NA"/>
    <n v="127"/>
    <n v="128"/>
    <n v="125.2"/>
    <n v="114.4"/>
    <n v="123.2"/>
    <n v="127.9"/>
    <n v="118.4"/>
    <n v="121.7"/>
    <n v="129"/>
    <x v="0"/>
  </r>
  <r>
    <x v="1"/>
    <x v="3"/>
    <x v="3"/>
    <x v="40"/>
    <n v="124.9"/>
    <n v="139.30000000000001"/>
    <n v="119.9"/>
    <n v="130.19999999999999"/>
    <n v="108.9"/>
    <n v="131.1"/>
    <n v="136.80000000000001"/>
    <n v="176.9"/>
    <n v="109.1"/>
    <n v="140.4"/>
    <n v="121.1"/>
    <n v="135.9"/>
    <n v="131.80000000000001"/>
    <n v="141.5"/>
    <n v="126.8"/>
    <n v="120.5"/>
    <n v="125.8"/>
    <n v="125.6"/>
    <n v="114.6"/>
    <n v="122.8"/>
    <n v="120"/>
    <n v="110"/>
    <n v="119.5"/>
    <n v="127.6"/>
    <n v="117.6"/>
    <n v="118.2"/>
    <n v="125.3"/>
    <x v="0"/>
  </r>
  <r>
    <x v="2"/>
    <x v="3"/>
    <x v="3"/>
    <x v="40"/>
    <n v="126.6"/>
    <n v="136.80000000000001"/>
    <n v="122"/>
    <n v="130.9"/>
    <n v="114.8"/>
    <n v="134.80000000000001"/>
    <n v="135"/>
    <n v="167.5"/>
    <n v="106.4"/>
    <n v="134.4"/>
    <n v="123.6"/>
    <n v="136.69999999999999"/>
    <n v="131.80000000000001"/>
    <n v="137.1"/>
    <n v="131.80000000000001"/>
    <n v="126.4"/>
    <n v="131"/>
    <n v="125.6"/>
    <n v="122.3"/>
    <n v="125.5"/>
    <n v="123.2"/>
    <n v="112.1"/>
    <n v="121.1"/>
    <n v="127.7"/>
    <n v="118.1"/>
    <n v="120"/>
    <n v="127.3"/>
    <x v="0"/>
  </r>
  <r>
    <x v="0"/>
    <x v="3"/>
    <x v="4"/>
    <x v="41"/>
    <n v="127.6"/>
    <n v="137.5"/>
    <n v="124.4"/>
    <n v="132.4"/>
    <n v="118.2"/>
    <n v="138.1"/>
    <n v="141.80000000000001"/>
    <n v="166"/>
    <n v="107.5"/>
    <n v="132.19999999999999"/>
    <n v="126.1"/>
    <n v="138.30000000000001"/>
    <n v="133.6"/>
    <n v="136"/>
    <n v="135.4"/>
    <n v="131.1"/>
    <n v="134.80000000000001"/>
    <s v="NA"/>
    <n v="127.4"/>
    <n v="128.5"/>
    <n v="125.8"/>
    <n v="115.1"/>
    <n v="123.6"/>
    <n v="129.1"/>
    <n v="119.7"/>
    <n v="122.5"/>
    <n v="130.30000000000001"/>
    <x v="0"/>
  </r>
  <r>
    <x v="1"/>
    <x v="3"/>
    <x v="4"/>
    <x v="41"/>
    <n v="125"/>
    <n v="142.1"/>
    <n v="127"/>
    <n v="130.4"/>
    <n v="109.6"/>
    <n v="133.5"/>
    <n v="151.4"/>
    <n v="182.8"/>
    <n v="111.1"/>
    <n v="141.5"/>
    <n v="121.5"/>
    <n v="136.30000000000001"/>
    <n v="134.6"/>
    <n v="142.19999999999999"/>
    <n v="127.2"/>
    <n v="120.7"/>
    <n v="126.2"/>
    <n v="126"/>
    <n v="115"/>
    <n v="123.2"/>
    <n v="120.3"/>
    <n v="110.7"/>
    <n v="119.8"/>
    <n v="128"/>
    <n v="118.5"/>
    <n v="118.7"/>
    <n v="126.6"/>
    <x v="0"/>
  </r>
  <r>
    <x v="2"/>
    <x v="3"/>
    <x v="4"/>
    <x v="41"/>
    <n v="126.8"/>
    <n v="139.1"/>
    <n v="125.4"/>
    <n v="131.69999999999999"/>
    <n v="115"/>
    <n v="136"/>
    <n v="145.1"/>
    <n v="171.7"/>
    <n v="108.7"/>
    <n v="135.30000000000001"/>
    <n v="124.2"/>
    <n v="137.4"/>
    <n v="134"/>
    <n v="137.69999999999999"/>
    <n v="132.19999999999999"/>
    <n v="126.8"/>
    <n v="131.4"/>
    <n v="126"/>
    <n v="122.7"/>
    <n v="126"/>
    <n v="123.7"/>
    <n v="112.8"/>
    <n v="121.5"/>
    <n v="128.5"/>
    <n v="119.2"/>
    <n v="120.7"/>
    <n v="128.6"/>
    <x v="0"/>
  </r>
  <r>
    <x v="0"/>
    <x v="3"/>
    <x v="5"/>
    <x v="42"/>
    <n v="128.6"/>
    <n v="138.6"/>
    <n v="126.6"/>
    <n v="133.6"/>
    <n v="118.6"/>
    <n v="137.4"/>
    <n v="152.5"/>
    <n v="169.2"/>
    <n v="108.8"/>
    <n v="133.1"/>
    <n v="126.4"/>
    <n v="139.19999999999999"/>
    <n v="136"/>
    <n v="137.19999999999999"/>
    <n v="136.30000000000001"/>
    <n v="131.6"/>
    <n v="135.6"/>
    <s v="NA"/>
    <n v="128"/>
    <n v="129.30000000000001"/>
    <n v="126.2"/>
    <n v="116.3"/>
    <n v="124.1"/>
    <n v="130.19999999999999"/>
    <n v="119.9"/>
    <n v="123.3"/>
    <n v="131.9"/>
    <x v="0"/>
  </r>
  <r>
    <x v="1"/>
    <x v="3"/>
    <x v="5"/>
    <x v="42"/>
    <n v="125.9"/>
    <n v="143.9"/>
    <n v="130.9"/>
    <n v="131"/>
    <n v="110.2"/>
    <n v="135.5"/>
    <n v="173.7"/>
    <n v="184.4"/>
    <n v="112"/>
    <n v="142.80000000000001"/>
    <n v="121.6"/>
    <n v="136.9"/>
    <n v="138.19999999999999"/>
    <n v="142.69999999999999"/>
    <n v="127.6"/>
    <n v="121.1"/>
    <n v="126.6"/>
    <n v="125.5"/>
    <n v="115.5"/>
    <n v="123.2"/>
    <n v="120.6"/>
    <n v="112.3"/>
    <n v="119.9"/>
    <n v="129.30000000000001"/>
    <n v="118.8"/>
    <n v="119.6"/>
    <n v="128.1"/>
    <x v="0"/>
  </r>
  <r>
    <x v="2"/>
    <x v="3"/>
    <x v="5"/>
    <x v="42"/>
    <n v="127.7"/>
    <n v="140.5"/>
    <n v="128.30000000000001"/>
    <n v="132.6"/>
    <n v="115.5"/>
    <n v="136.5"/>
    <n v="159.69999999999999"/>
    <n v="174.3"/>
    <n v="109.9"/>
    <n v="136.30000000000001"/>
    <n v="124.4"/>
    <n v="138.1"/>
    <n v="136.80000000000001"/>
    <n v="138.69999999999999"/>
    <n v="132.9"/>
    <n v="127.2"/>
    <n v="132"/>
    <n v="125.5"/>
    <n v="123.3"/>
    <n v="126.4"/>
    <n v="124.1"/>
    <n v="114.2"/>
    <n v="121.7"/>
    <n v="129.69999999999999"/>
    <n v="119.4"/>
    <n v="121.5"/>
    <n v="130.1"/>
    <x v="0"/>
  </r>
  <r>
    <x v="0"/>
    <x v="3"/>
    <x v="6"/>
    <x v="43"/>
    <n v="129.30000000000001"/>
    <n v="139.5"/>
    <n v="129.6"/>
    <n v="134.5"/>
    <n v="119.5"/>
    <n v="138.5"/>
    <n v="158.19999999999999"/>
    <n v="171.8"/>
    <n v="110.3"/>
    <n v="134.30000000000001"/>
    <n v="127.3"/>
    <n v="139.9"/>
    <n v="137.6"/>
    <n v="138"/>
    <n v="137.19999999999999"/>
    <n v="132.19999999999999"/>
    <n v="136.5"/>
    <s v="NA"/>
    <n v="128.19999999999999"/>
    <n v="130"/>
    <n v="126.7"/>
    <n v="116.4"/>
    <n v="125.2"/>
    <n v="130.80000000000001"/>
    <n v="120.9"/>
    <n v="123.8"/>
    <n v="133"/>
    <x v="0"/>
  </r>
  <r>
    <x v="1"/>
    <x v="3"/>
    <x v="6"/>
    <x v="43"/>
    <n v="126.8"/>
    <n v="144.19999999999999"/>
    <n v="136.6"/>
    <n v="131.80000000000001"/>
    <n v="111"/>
    <n v="137"/>
    <n v="179.5"/>
    <n v="188.4"/>
    <n v="113.3"/>
    <n v="143.9"/>
    <n v="121.7"/>
    <n v="137.5"/>
    <n v="139.80000000000001"/>
    <n v="142.9"/>
    <n v="127.9"/>
    <n v="121.1"/>
    <n v="126.9"/>
    <n v="126.4"/>
    <n v="115.5"/>
    <n v="123.5"/>
    <n v="120.9"/>
    <n v="111.7"/>
    <n v="120.3"/>
    <n v="130.80000000000001"/>
    <n v="120"/>
    <n v="119.9"/>
    <n v="129"/>
    <x v="0"/>
  </r>
  <r>
    <x v="2"/>
    <x v="3"/>
    <x v="6"/>
    <x v="43"/>
    <n v="128.5"/>
    <n v="141.19999999999999"/>
    <n v="132.30000000000001"/>
    <n v="133.5"/>
    <n v="116.4"/>
    <n v="137.80000000000001"/>
    <n v="165.4"/>
    <n v="177.4"/>
    <n v="111.3"/>
    <n v="137.5"/>
    <n v="125"/>
    <n v="138.80000000000001"/>
    <n v="138.4"/>
    <n v="139.30000000000001"/>
    <n v="133.5"/>
    <n v="127.6"/>
    <n v="132.69999999999999"/>
    <n v="126.4"/>
    <n v="123.4"/>
    <n v="126.9"/>
    <n v="124.5"/>
    <n v="113.9"/>
    <n v="122.4"/>
    <n v="130.80000000000001"/>
    <n v="120.5"/>
    <n v="121.9"/>
    <n v="131.1"/>
    <x v="0"/>
  </r>
  <r>
    <x v="0"/>
    <x v="3"/>
    <x v="7"/>
    <x v="44"/>
    <n v="130.1"/>
    <n v="138.80000000000001"/>
    <n v="130.30000000000001"/>
    <n v="135.30000000000001"/>
    <n v="119.9"/>
    <n v="140.19999999999999"/>
    <n v="156.9"/>
    <n v="172.2"/>
    <n v="112.1"/>
    <n v="134.9"/>
    <n v="128.1"/>
    <n v="140.69999999999999"/>
    <n v="138"/>
    <n v="138.9"/>
    <n v="137.80000000000001"/>
    <n v="133"/>
    <n v="137.1"/>
    <s v="NA"/>
    <n v="129.1"/>
    <n v="130.6"/>
    <n v="127"/>
    <n v="116"/>
    <n v="125.5"/>
    <n v="131.9"/>
    <n v="122"/>
    <n v="124.2"/>
    <n v="133.5"/>
    <x v="0"/>
  </r>
  <r>
    <x v="1"/>
    <x v="3"/>
    <x v="7"/>
    <x v="44"/>
    <n v="127.6"/>
    <n v="140.30000000000001"/>
    <n v="133.69999999999999"/>
    <n v="132.19999999999999"/>
    <n v="111.8"/>
    <n v="135.80000000000001"/>
    <n v="163.5"/>
    <n v="182.3"/>
    <n v="114.6"/>
    <n v="144.6"/>
    <n v="121.9"/>
    <n v="138.1"/>
    <n v="137.6"/>
    <n v="143.6"/>
    <n v="128.30000000000001"/>
    <n v="121.4"/>
    <n v="127.3"/>
    <n v="127.3"/>
    <n v="114.7"/>
    <n v="123.9"/>
    <n v="121.2"/>
    <n v="110.4"/>
    <n v="120.6"/>
    <n v="131.5"/>
    <n v="120.9"/>
    <n v="119.9"/>
    <n v="128.4"/>
    <x v="0"/>
  </r>
  <r>
    <x v="2"/>
    <x v="3"/>
    <x v="7"/>
    <x v="44"/>
    <n v="129.30000000000001"/>
    <n v="139.30000000000001"/>
    <n v="131.6"/>
    <n v="134.1"/>
    <n v="116.9"/>
    <n v="138.1"/>
    <n v="159.1"/>
    <n v="175.6"/>
    <n v="112.9"/>
    <n v="138.1"/>
    <n v="125.5"/>
    <n v="139.5"/>
    <n v="137.9"/>
    <n v="140.19999999999999"/>
    <n v="134.1"/>
    <n v="128.19999999999999"/>
    <n v="133.19999999999999"/>
    <n v="127.3"/>
    <n v="123.6"/>
    <n v="127.4"/>
    <n v="124.8"/>
    <n v="113.1"/>
    <n v="122.7"/>
    <n v="131.69999999999999"/>
    <n v="121.5"/>
    <n v="122.1"/>
    <n v="131.1"/>
    <x v="0"/>
  </r>
  <r>
    <x v="0"/>
    <x v="3"/>
    <x v="8"/>
    <x v="45"/>
    <n v="130.80000000000001"/>
    <n v="138.19999999999999"/>
    <n v="130.5"/>
    <n v="135.5"/>
    <n v="120.2"/>
    <n v="139.19999999999999"/>
    <n v="149.5"/>
    <n v="170.4"/>
    <n v="113.1"/>
    <n v="135.80000000000001"/>
    <n v="128.80000000000001"/>
    <n v="141.5"/>
    <n v="137.19999999999999"/>
    <n v="139.9"/>
    <n v="138.5"/>
    <n v="133.5"/>
    <n v="137.80000000000001"/>
    <s v="NA"/>
    <n v="129.69999999999999"/>
    <n v="131.1"/>
    <n v="127.8"/>
    <n v="117"/>
    <n v="125.7"/>
    <n v="132.19999999999999"/>
    <n v="122.8"/>
    <n v="124.9"/>
    <n v="133.4"/>
    <x v="0"/>
  </r>
  <r>
    <x v="1"/>
    <x v="3"/>
    <x v="8"/>
    <x v="45"/>
    <n v="128.1"/>
    <n v="137.69999999999999"/>
    <n v="130.6"/>
    <n v="132.6"/>
    <n v="111.9"/>
    <n v="132.5"/>
    <n v="152.9"/>
    <n v="173.6"/>
    <n v="115.1"/>
    <n v="144.80000000000001"/>
    <n v="122.1"/>
    <n v="138.80000000000001"/>
    <n v="135.69999999999999"/>
    <n v="143.9"/>
    <n v="128.69999999999999"/>
    <n v="121.6"/>
    <n v="127.7"/>
    <n v="127.9"/>
    <n v="114.8"/>
    <n v="124.3"/>
    <n v="121.4"/>
    <n v="111.8"/>
    <n v="120.8"/>
    <n v="131.6"/>
    <n v="121.2"/>
    <n v="120.5"/>
    <n v="128"/>
    <x v="0"/>
  </r>
  <r>
    <x v="2"/>
    <x v="3"/>
    <x v="8"/>
    <x v="45"/>
    <n v="129.9"/>
    <n v="138"/>
    <n v="130.5"/>
    <n v="134.4"/>
    <n v="117.2"/>
    <n v="136.1"/>
    <n v="150.69999999999999"/>
    <n v="171.5"/>
    <n v="113.8"/>
    <n v="138.80000000000001"/>
    <n v="126"/>
    <n v="140.19999999999999"/>
    <n v="136.6"/>
    <n v="141"/>
    <n v="134.6"/>
    <n v="128.6"/>
    <n v="133.80000000000001"/>
    <n v="127.9"/>
    <n v="124.1"/>
    <n v="127.9"/>
    <n v="125.4"/>
    <n v="114.3"/>
    <n v="122.9"/>
    <n v="131.80000000000001"/>
    <n v="122.1"/>
    <n v="122.8"/>
    <n v="130.9"/>
    <x v="0"/>
  </r>
  <r>
    <x v="0"/>
    <x v="3"/>
    <x v="9"/>
    <x v="46"/>
    <n v="131.30000000000001"/>
    <n v="137.6"/>
    <n v="130.1"/>
    <n v="136"/>
    <n v="120.8"/>
    <n v="138.4"/>
    <n v="149.19999999999999"/>
    <n v="170.2"/>
    <n v="113.4"/>
    <n v="136.30000000000001"/>
    <n v="128.69999999999999"/>
    <n v="142.4"/>
    <n v="137.4"/>
    <n v="140.9"/>
    <n v="139.6"/>
    <n v="134.30000000000001"/>
    <n v="138.80000000000001"/>
    <s v="NA"/>
    <n v="129.80000000000001"/>
    <n v="131.80000000000001"/>
    <n v="128.69999999999999"/>
    <n v="117.8"/>
    <n v="126.5"/>
    <n v="133"/>
    <n v="123"/>
    <n v="125.7"/>
    <n v="133.80000000000001"/>
    <x v="0"/>
  </r>
  <r>
    <x v="1"/>
    <x v="3"/>
    <x v="9"/>
    <x v="46"/>
    <n v="128.69999999999999"/>
    <n v="138.4"/>
    <n v="130.30000000000001"/>
    <n v="132.69999999999999"/>
    <n v="112.5"/>
    <n v="130.4"/>
    <n v="155.1"/>
    <n v="175.7"/>
    <n v="115.4"/>
    <n v="145.30000000000001"/>
    <n v="122.5"/>
    <n v="139.6"/>
    <n v="136.30000000000001"/>
    <n v="144.30000000000001"/>
    <n v="129.1"/>
    <n v="121.9"/>
    <n v="128"/>
    <n v="128.69999999999999"/>
    <n v="115.2"/>
    <n v="124.5"/>
    <n v="121.8"/>
    <n v="112.8"/>
    <n v="121.2"/>
    <n v="131.9"/>
    <n v="120.8"/>
    <n v="120.9"/>
    <n v="128.6"/>
    <x v="0"/>
  </r>
  <r>
    <x v="2"/>
    <x v="3"/>
    <x v="9"/>
    <x v="46"/>
    <n v="130.5"/>
    <n v="137.9"/>
    <n v="130.19999999999999"/>
    <n v="134.80000000000001"/>
    <n v="117.8"/>
    <n v="134.69999999999999"/>
    <n v="151.19999999999999"/>
    <n v="172.1"/>
    <n v="114.1"/>
    <n v="139.30000000000001"/>
    <n v="126.1"/>
    <n v="141.1"/>
    <n v="137"/>
    <n v="141.80000000000001"/>
    <n v="135.5"/>
    <n v="129.1"/>
    <n v="134.5"/>
    <n v="128.69999999999999"/>
    <n v="124.3"/>
    <n v="128.4"/>
    <n v="126.1"/>
    <n v="115.2"/>
    <n v="123.5"/>
    <n v="132.4"/>
    <n v="122.1"/>
    <n v="123.4"/>
    <n v="131.4"/>
    <x v="0"/>
  </r>
  <r>
    <x v="0"/>
    <x v="3"/>
    <x v="11"/>
    <x v="47"/>
    <n v="132"/>
    <n v="137.4"/>
    <n v="130.6"/>
    <n v="136.19999999999999"/>
    <n v="121.1"/>
    <n v="136.9"/>
    <n v="141.80000000000001"/>
    <n v="170"/>
    <n v="113.4"/>
    <n v="136.80000000000001"/>
    <n v="128.69999999999999"/>
    <n v="143.1"/>
    <n v="136.6"/>
    <n v="141.19999999999999"/>
    <n v="139.9"/>
    <n v="134.5"/>
    <n v="139.19999999999999"/>
    <s v="NA"/>
    <n v="130.30000000000001"/>
    <n v="132.1"/>
    <n v="129.1"/>
    <n v="118.2"/>
    <n v="126.9"/>
    <n v="133.69999999999999"/>
    <n v="123.5"/>
    <n v="126.1"/>
    <n v="133.6"/>
    <x v="0"/>
  </r>
  <r>
    <x v="1"/>
    <x v="3"/>
    <x v="11"/>
    <x v="47"/>
    <n v="130.19999999999999"/>
    <n v="138.5"/>
    <n v="134.1"/>
    <n v="132.9"/>
    <n v="112.6"/>
    <n v="130.80000000000001"/>
    <n v="142"/>
    <n v="174.9"/>
    <n v="115.6"/>
    <n v="145.4"/>
    <n v="122.7"/>
    <n v="140.30000000000001"/>
    <n v="135.19999999999999"/>
    <n v="144.30000000000001"/>
    <n v="129.6"/>
    <n v="122.1"/>
    <n v="128.5"/>
    <n v="129.1"/>
    <n v="116.2"/>
    <n v="124.7"/>
    <n v="122.1"/>
    <n v="113.4"/>
    <n v="121.7"/>
    <n v="132.1"/>
    <n v="121.3"/>
    <n v="121.3"/>
    <n v="128.5"/>
    <x v="0"/>
  </r>
  <r>
    <x v="2"/>
    <x v="3"/>
    <x v="11"/>
    <x v="47"/>
    <n v="131.4"/>
    <n v="137.80000000000001"/>
    <n v="132"/>
    <n v="135"/>
    <n v="118"/>
    <n v="134.1"/>
    <n v="141.9"/>
    <n v="171.7"/>
    <n v="114.1"/>
    <n v="139.69999999999999"/>
    <n v="126.2"/>
    <n v="141.80000000000001"/>
    <n v="136.1"/>
    <n v="142"/>
    <n v="135.80000000000001"/>
    <n v="129.30000000000001"/>
    <n v="135"/>
    <n v="129.1"/>
    <n v="125"/>
    <n v="128.6"/>
    <n v="126.4"/>
    <n v="115.7"/>
    <n v="124"/>
    <n v="132.80000000000001"/>
    <n v="122.6"/>
    <n v="123.8"/>
    <n v="131.19999999999999"/>
    <x v="0"/>
  </r>
  <r>
    <x v="0"/>
    <x v="3"/>
    <x v="12"/>
    <x v="48"/>
    <n v="132.6"/>
    <n v="137.30000000000001"/>
    <n v="131.6"/>
    <n v="136.30000000000001"/>
    <n v="121.6"/>
    <n v="135.6"/>
    <n v="127.5"/>
    <n v="167.9"/>
    <n v="113.8"/>
    <n v="137.5"/>
    <n v="129.1"/>
    <n v="143.6"/>
    <n v="134.69999999999999"/>
    <n v="142.4"/>
    <n v="140.4"/>
    <n v="135.19999999999999"/>
    <n v="139.69999999999999"/>
    <s v="NA"/>
    <n v="132"/>
    <n v="132.9"/>
    <n v="129.69999999999999"/>
    <n v="118.6"/>
    <n v="127.3"/>
    <n v="134.19999999999999"/>
    <n v="121.9"/>
    <n v="126.3"/>
    <n v="132.80000000000001"/>
    <x v="0"/>
  </r>
  <r>
    <x v="1"/>
    <x v="3"/>
    <x v="12"/>
    <x v="48"/>
    <n v="131.6"/>
    <n v="138.19999999999999"/>
    <n v="134.9"/>
    <n v="133.1"/>
    <n v="113.5"/>
    <n v="129.30000000000001"/>
    <n v="121.1"/>
    <n v="170.3"/>
    <n v="115.5"/>
    <n v="145.5"/>
    <n v="123.1"/>
    <n v="140.9"/>
    <n v="132.80000000000001"/>
    <n v="145"/>
    <n v="130"/>
    <n v="122.2"/>
    <n v="128.80000000000001"/>
    <n v="128.5"/>
    <n v="117.8"/>
    <n v="125"/>
    <n v="122.3"/>
    <n v="113.7"/>
    <n v="121.8"/>
    <n v="132.30000000000001"/>
    <n v="119.9"/>
    <n v="121.4"/>
    <n v="127.6"/>
    <x v="0"/>
  </r>
  <r>
    <x v="2"/>
    <x v="3"/>
    <x v="12"/>
    <x v="48"/>
    <n v="132.30000000000001"/>
    <n v="137.6"/>
    <n v="132.9"/>
    <n v="135.1"/>
    <n v="118.6"/>
    <n v="132.69999999999999"/>
    <n v="125.3"/>
    <n v="168.7"/>
    <n v="114.4"/>
    <n v="140.19999999999999"/>
    <n v="126.6"/>
    <n v="142.30000000000001"/>
    <n v="134"/>
    <n v="143.1"/>
    <n v="136.30000000000001"/>
    <n v="129.80000000000001"/>
    <n v="135.4"/>
    <n v="128.5"/>
    <n v="126.6"/>
    <n v="129.19999999999999"/>
    <n v="126.9"/>
    <n v="116"/>
    <n v="124.2"/>
    <n v="133.1"/>
    <n v="121.1"/>
    <n v="123.9"/>
    <n v="130.4"/>
    <x v="0"/>
  </r>
  <r>
    <x v="0"/>
    <x v="4"/>
    <x v="0"/>
    <x v="49"/>
    <n v="133.1"/>
    <n v="137.80000000000001"/>
    <n v="131.9"/>
    <n v="136.69999999999999"/>
    <n v="122"/>
    <n v="136"/>
    <n v="119.8"/>
    <n v="161.69999999999999"/>
    <n v="114.8"/>
    <n v="136.9"/>
    <n v="129"/>
    <n v="143.9"/>
    <n v="133.69999999999999"/>
    <n v="143.1"/>
    <n v="140.69999999999999"/>
    <n v="135.80000000000001"/>
    <n v="140"/>
    <s v="NA"/>
    <n v="132.1"/>
    <n v="133.19999999999999"/>
    <n v="129.9"/>
    <n v="119.1"/>
    <n v="127"/>
    <n v="134.6"/>
    <n v="122.3"/>
    <n v="126.6"/>
    <n v="132.4"/>
    <x v="0"/>
  </r>
  <r>
    <x v="1"/>
    <x v="4"/>
    <x v="0"/>
    <x v="49"/>
    <n v="132.19999999999999"/>
    <n v="138.9"/>
    <n v="132.6"/>
    <n v="133.1"/>
    <n v="114"/>
    <n v="129.6"/>
    <n v="118.7"/>
    <n v="155.1"/>
    <n v="117.3"/>
    <n v="144.9"/>
    <n v="123.2"/>
    <n v="141.6"/>
    <n v="132"/>
    <n v="145.6"/>
    <n v="130.19999999999999"/>
    <n v="122.3"/>
    <n v="129"/>
    <n v="129.6"/>
    <n v="118"/>
    <n v="125.1"/>
    <n v="122.6"/>
    <n v="115.2"/>
    <n v="122"/>
    <n v="132.4"/>
    <n v="120.9"/>
    <n v="122.1"/>
    <n v="127.8"/>
    <x v="0"/>
  </r>
  <r>
    <x v="2"/>
    <x v="4"/>
    <x v="0"/>
    <x v="49"/>
    <n v="132.80000000000001"/>
    <n v="138.19999999999999"/>
    <n v="132.19999999999999"/>
    <n v="135.4"/>
    <n v="119.1"/>
    <n v="133"/>
    <n v="119.4"/>
    <n v="159.5"/>
    <n v="115.6"/>
    <n v="139.6"/>
    <n v="126.6"/>
    <n v="142.80000000000001"/>
    <n v="133.1"/>
    <n v="143.80000000000001"/>
    <n v="136.6"/>
    <n v="130.19999999999999"/>
    <n v="135.6"/>
    <n v="129.6"/>
    <n v="126.8"/>
    <n v="129.4"/>
    <n v="127.1"/>
    <n v="117"/>
    <n v="124.2"/>
    <n v="133.30000000000001"/>
    <n v="121.7"/>
    <n v="124.4"/>
    <n v="130.30000000000001"/>
    <x v="0"/>
  </r>
  <r>
    <x v="0"/>
    <x v="4"/>
    <x v="1"/>
    <x v="50"/>
    <n v="133.30000000000001"/>
    <n v="138.30000000000001"/>
    <n v="129.30000000000001"/>
    <n v="137.19999999999999"/>
    <n v="122.1"/>
    <n v="138.69999999999999"/>
    <n v="119.1"/>
    <n v="156.9"/>
    <n v="116.2"/>
    <n v="136"/>
    <n v="129.4"/>
    <n v="144.4"/>
    <n v="133.6"/>
    <n v="143.69999999999999"/>
    <n v="140.9"/>
    <n v="135.80000000000001"/>
    <n v="140.19999999999999"/>
    <s v="NA"/>
    <n v="133.19999999999999"/>
    <n v="133.6"/>
    <n v="130.1"/>
    <n v="119.5"/>
    <n v="127.7"/>
    <n v="134.9"/>
    <n v="123.2"/>
    <n v="127"/>
    <n v="132.6"/>
    <x v="0"/>
  </r>
  <r>
    <x v="1"/>
    <x v="4"/>
    <x v="1"/>
    <x v="50"/>
    <n v="132.80000000000001"/>
    <n v="139.80000000000001"/>
    <n v="129.30000000000001"/>
    <n v="133.5"/>
    <n v="114.3"/>
    <n v="131.4"/>
    <n v="120.2"/>
    <n v="143.1"/>
    <n v="119.5"/>
    <n v="144"/>
    <n v="123.4"/>
    <n v="141.9"/>
    <n v="132.1"/>
    <n v="146.30000000000001"/>
    <n v="130.5"/>
    <n v="122.5"/>
    <n v="129.30000000000001"/>
    <n v="130.5"/>
    <n v="119.2"/>
    <n v="125.3"/>
    <n v="122.9"/>
    <n v="115.5"/>
    <n v="122.2"/>
    <n v="132.4"/>
    <n v="121.7"/>
    <n v="122.4"/>
    <n v="128.19999999999999"/>
    <x v="0"/>
  </r>
  <r>
    <x v="2"/>
    <x v="4"/>
    <x v="1"/>
    <x v="50"/>
    <n v="133.1"/>
    <n v="138.80000000000001"/>
    <n v="129.30000000000001"/>
    <n v="135.80000000000001"/>
    <n v="119.2"/>
    <n v="135.30000000000001"/>
    <n v="119.5"/>
    <n v="152.19999999999999"/>
    <n v="117.3"/>
    <n v="138.69999999999999"/>
    <n v="126.9"/>
    <n v="143.19999999999999"/>
    <n v="133"/>
    <n v="144.4"/>
    <n v="136.80000000000001"/>
    <n v="130.30000000000001"/>
    <n v="135.9"/>
    <n v="130.5"/>
    <n v="127.9"/>
    <n v="129.69999999999999"/>
    <n v="127.4"/>
    <n v="117.4"/>
    <n v="124.6"/>
    <n v="133.4"/>
    <n v="122.6"/>
    <n v="124.8"/>
    <n v="130.6"/>
    <x v="0"/>
  </r>
  <r>
    <x v="0"/>
    <x v="4"/>
    <x v="2"/>
    <x v="51"/>
    <n v="133.6"/>
    <n v="138.80000000000001"/>
    <n v="128.80000000000001"/>
    <n v="137.19999999999999"/>
    <n v="121.6"/>
    <n v="139.69999999999999"/>
    <n v="119.7"/>
    <n v="148"/>
    <n v="116.9"/>
    <n v="135.6"/>
    <n v="129.80000000000001"/>
    <n v="145.4"/>
    <n v="133.4"/>
    <n v="144.19999999999999"/>
    <n v="141.6"/>
    <n v="136.19999999999999"/>
    <n v="140.80000000000001"/>
    <s v="NA"/>
    <n v="134.19999999999999"/>
    <n v="134.1"/>
    <n v="130.6"/>
    <n v="119.8"/>
    <n v="128.30000000000001"/>
    <n v="135.19999999999999"/>
    <n v="123.3"/>
    <n v="127.4"/>
    <n v="132.80000000000001"/>
    <x v="0"/>
  </r>
  <r>
    <x v="1"/>
    <x v="4"/>
    <x v="2"/>
    <x v="51"/>
    <n v="132.69999999999999"/>
    <n v="139.4"/>
    <n v="128.4"/>
    <n v="134.9"/>
    <n v="114"/>
    <n v="136.80000000000001"/>
    <n v="122.2"/>
    <n v="135.80000000000001"/>
    <n v="120.3"/>
    <n v="142.6"/>
    <n v="123.6"/>
    <n v="142.4"/>
    <n v="132.6"/>
    <n v="147.5"/>
    <n v="130.80000000000001"/>
    <n v="122.8"/>
    <n v="129.6"/>
    <n v="131.1"/>
    <n v="120.8"/>
    <n v="125.6"/>
    <n v="123.1"/>
    <n v="115.6"/>
    <n v="122.4"/>
    <n v="132.80000000000001"/>
    <n v="121.7"/>
    <n v="122.6"/>
    <n v="128.69999999999999"/>
    <x v="0"/>
  </r>
  <r>
    <x v="2"/>
    <x v="4"/>
    <x v="2"/>
    <x v="51"/>
    <n v="133.30000000000001"/>
    <n v="139"/>
    <n v="128.6"/>
    <n v="136.30000000000001"/>
    <n v="118.8"/>
    <n v="138.30000000000001"/>
    <n v="120.5"/>
    <n v="143.9"/>
    <n v="118"/>
    <n v="137.9"/>
    <n v="127.2"/>
    <n v="144"/>
    <n v="133.1"/>
    <n v="145.1"/>
    <n v="137.30000000000001"/>
    <n v="130.6"/>
    <n v="136.4"/>
    <n v="131.1"/>
    <n v="129.1"/>
    <n v="130.1"/>
    <n v="127.8"/>
    <n v="117.6"/>
    <n v="125"/>
    <n v="133.80000000000001"/>
    <n v="122.6"/>
    <n v="125.1"/>
    <n v="130.9"/>
    <x v="0"/>
  </r>
  <r>
    <x v="0"/>
    <x v="4"/>
    <x v="3"/>
    <x v="52"/>
    <n v="133.19999999999999"/>
    <n v="138.69999999999999"/>
    <n v="127.1"/>
    <n v="137.69999999999999"/>
    <n v="121.3"/>
    <n v="141.80000000000001"/>
    <n v="121.5"/>
    <n v="144.5"/>
    <n v="117.4"/>
    <n v="134.1"/>
    <n v="130"/>
    <n v="145.5"/>
    <n v="133.5"/>
    <n v="144.4"/>
    <n v="142.4"/>
    <n v="136.80000000000001"/>
    <n v="141.6"/>
    <s v="NA"/>
    <n v="135"/>
    <n v="134.30000000000001"/>
    <n v="131"/>
    <n v="119.2"/>
    <n v="128.30000000000001"/>
    <n v="135.69999999999999"/>
    <n v="123.7"/>
    <n v="127.5"/>
    <n v="132.9"/>
    <x v="0"/>
  </r>
  <r>
    <x v="1"/>
    <x v="4"/>
    <x v="3"/>
    <x v="52"/>
    <n v="132.69999999999999"/>
    <n v="140.6"/>
    <n v="124.5"/>
    <n v="136.30000000000001"/>
    <n v="113.5"/>
    <n v="137.69999999999999"/>
    <n v="127.1"/>
    <n v="133.80000000000001"/>
    <n v="120.8"/>
    <n v="141.30000000000001"/>
    <n v="123.8"/>
    <n v="142.6"/>
    <n v="133.4"/>
    <n v="148"/>
    <n v="131.19999999999999"/>
    <n v="123"/>
    <n v="130"/>
    <n v="131.69999999999999"/>
    <n v="121.4"/>
    <n v="126"/>
    <n v="123.4"/>
    <n v="114.3"/>
    <n v="122.6"/>
    <n v="133.6"/>
    <n v="122.2"/>
    <n v="122.5"/>
    <n v="129.1"/>
    <x v="0"/>
  </r>
  <r>
    <x v="2"/>
    <x v="4"/>
    <x v="3"/>
    <x v="52"/>
    <n v="133"/>
    <n v="139.4"/>
    <n v="126.1"/>
    <n v="137.19999999999999"/>
    <n v="118.4"/>
    <n v="139.9"/>
    <n v="123.4"/>
    <n v="140.9"/>
    <n v="118.5"/>
    <n v="136.5"/>
    <n v="127.4"/>
    <n v="144.19999999999999"/>
    <n v="133.5"/>
    <n v="145.4"/>
    <n v="138"/>
    <n v="131.1"/>
    <n v="137"/>
    <n v="131.69999999999999"/>
    <n v="129.80000000000001"/>
    <n v="130.4"/>
    <n v="128.1"/>
    <n v="116.6"/>
    <n v="125.1"/>
    <n v="134.5"/>
    <n v="123.1"/>
    <n v="125.1"/>
    <n v="131.1"/>
    <x v="0"/>
  </r>
  <r>
    <x v="0"/>
    <x v="4"/>
    <x v="4"/>
    <x v="53"/>
    <n v="133.1"/>
    <n v="140.30000000000001"/>
    <n v="126.8"/>
    <n v="138.19999999999999"/>
    <n v="120.8"/>
    <n v="140.19999999999999"/>
    <n v="123.8"/>
    <n v="141.80000000000001"/>
    <n v="118.6"/>
    <n v="134"/>
    <n v="130.30000000000001"/>
    <n v="145.80000000000001"/>
    <n v="133.80000000000001"/>
    <n v="145.5"/>
    <n v="142.5"/>
    <n v="137.30000000000001"/>
    <n v="141.80000000000001"/>
    <s v="NA"/>
    <n v="135"/>
    <n v="134.9"/>
    <n v="131.4"/>
    <n v="119.4"/>
    <n v="129.4"/>
    <n v="136.30000000000001"/>
    <n v="123.7"/>
    <n v="127.9"/>
    <n v="133.30000000000001"/>
    <x v="0"/>
  </r>
  <r>
    <x v="1"/>
    <x v="4"/>
    <x v="4"/>
    <x v="53"/>
    <n v="132.6"/>
    <n v="144.1"/>
    <n v="125.6"/>
    <n v="136.80000000000001"/>
    <n v="113.4"/>
    <n v="135.19999999999999"/>
    <n v="129.19999999999999"/>
    <n v="131.5"/>
    <n v="121"/>
    <n v="139.9"/>
    <n v="123.8"/>
    <n v="142.9"/>
    <n v="133.6"/>
    <n v="148.30000000000001"/>
    <n v="131.5"/>
    <n v="123.2"/>
    <n v="130.19999999999999"/>
    <n v="132.1"/>
    <n v="120.1"/>
    <n v="126.5"/>
    <n v="123.6"/>
    <n v="114.3"/>
    <n v="122.8"/>
    <n v="133.80000000000001"/>
    <n v="122"/>
    <n v="122.6"/>
    <n v="129.30000000000001"/>
    <x v="0"/>
  </r>
  <r>
    <x v="2"/>
    <x v="4"/>
    <x v="4"/>
    <x v="53"/>
    <n v="132.9"/>
    <n v="141.6"/>
    <n v="126.3"/>
    <n v="137.69999999999999"/>
    <n v="118.1"/>
    <n v="137.9"/>
    <n v="125.6"/>
    <n v="138.30000000000001"/>
    <n v="119.4"/>
    <n v="136"/>
    <n v="127.6"/>
    <n v="144.5"/>
    <n v="133.69999999999999"/>
    <n v="146.19999999999999"/>
    <n v="138.19999999999999"/>
    <n v="131.4"/>
    <n v="137.19999999999999"/>
    <n v="132.1"/>
    <n v="129.4"/>
    <n v="130.9"/>
    <n v="128.4"/>
    <n v="116.7"/>
    <n v="125.7"/>
    <n v="134.80000000000001"/>
    <n v="123"/>
    <n v="125.3"/>
    <n v="131.4"/>
    <x v="0"/>
  </r>
  <r>
    <x v="0"/>
    <x v="4"/>
    <x v="5"/>
    <x v="54"/>
    <n v="133.5"/>
    <n v="143.69999999999999"/>
    <n v="128"/>
    <n v="138.6"/>
    <n v="120.9"/>
    <n v="140.9"/>
    <n v="128.80000000000001"/>
    <n v="140.19999999999999"/>
    <n v="118.9"/>
    <n v="133.5"/>
    <n v="130.4"/>
    <n v="146.5"/>
    <n v="134.9"/>
    <n v="145.80000000000001"/>
    <n v="143.1"/>
    <n v="137.69999999999999"/>
    <n v="142.30000000000001"/>
    <s v="NA"/>
    <n v="134.80000000000001"/>
    <n v="135.19999999999999"/>
    <n v="131.30000000000001"/>
    <n v="119.4"/>
    <n v="129.80000000000001"/>
    <n v="136.9"/>
    <n v="124.1"/>
    <n v="128.1"/>
    <n v="133.9"/>
    <x v="0"/>
  </r>
  <r>
    <x v="1"/>
    <x v="4"/>
    <x v="5"/>
    <x v="54"/>
    <n v="132.9"/>
    <n v="148.69999999999999"/>
    <n v="128.30000000000001"/>
    <n v="137.30000000000001"/>
    <n v="113.5"/>
    <n v="137.19999999999999"/>
    <n v="142.19999999999999"/>
    <n v="128.19999999999999"/>
    <n v="120.9"/>
    <n v="138.80000000000001"/>
    <n v="124.2"/>
    <n v="143.1"/>
    <n v="135.69999999999999"/>
    <n v="148.6"/>
    <n v="131.5"/>
    <n v="123.2"/>
    <n v="130.19999999999999"/>
    <n v="131.4"/>
    <n v="119"/>
    <n v="126.8"/>
    <n v="123.8"/>
    <n v="113.9"/>
    <n v="122.9"/>
    <n v="134.30000000000001"/>
    <n v="122.5"/>
    <n v="122.7"/>
    <n v="129.9"/>
    <x v="0"/>
  </r>
  <r>
    <x v="2"/>
    <x v="4"/>
    <x v="5"/>
    <x v="54"/>
    <n v="133.30000000000001"/>
    <n v="145.5"/>
    <n v="128.1"/>
    <n v="138.1"/>
    <n v="118.2"/>
    <n v="139.19999999999999"/>
    <n v="133.30000000000001"/>
    <n v="136.19999999999999"/>
    <n v="119.6"/>
    <n v="135.30000000000001"/>
    <n v="127.8"/>
    <n v="144.9"/>
    <n v="135.19999999999999"/>
    <n v="146.5"/>
    <n v="138.5"/>
    <n v="131.69999999999999"/>
    <n v="137.5"/>
    <n v="131.4"/>
    <n v="128.80000000000001"/>
    <n v="131.19999999999999"/>
    <n v="128.5"/>
    <n v="116.5"/>
    <n v="125.9"/>
    <n v="135.4"/>
    <n v="123.4"/>
    <n v="125.5"/>
    <n v="132"/>
    <x v="0"/>
  </r>
  <r>
    <x v="0"/>
    <x v="4"/>
    <x v="6"/>
    <x v="55"/>
    <n v="134"/>
    <n v="144.19999999999999"/>
    <n v="129.80000000000001"/>
    <n v="139"/>
    <n v="120.9"/>
    <n v="143.9"/>
    <n v="151.5"/>
    <n v="138.1"/>
    <n v="120"/>
    <n v="133.9"/>
    <n v="131.4"/>
    <n v="147.69999999999999"/>
    <n v="138.5"/>
    <n v="147.4"/>
    <n v="144.30000000000001"/>
    <n v="138.1"/>
    <n v="143.5"/>
    <s v="NA"/>
    <n v="135.30000000000001"/>
    <n v="136.1"/>
    <n v="132.1"/>
    <n v="119.1"/>
    <n v="130.6"/>
    <n v="138.6"/>
    <n v="124.4"/>
    <n v="128.6"/>
    <n v="136.19999999999999"/>
    <x v="0"/>
  </r>
  <r>
    <x v="1"/>
    <x v="4"/>
    <x v="6"/>
    <x v="55"/>
    <n v="132.80000000000001"/>
    <n v="148.4"/>
    <n v="129.4"/>
    <n v="137.69999999999999"/>
    <n v="113.4"/>
    <n v="139.4"/>
    <n v="175.1"/>
    <n v="124.7"/>
    <n v="121.5"/>
    <n v="137.80000000000001"/>
    <n v="124.4"/>
    <n v="143.69999999999999"/>
    <n v="139.80000000000001"/>
    <n v="150.5"/>
    <n v="131.6"/>
    <n v="123.7"/>
    <n v="130.4"/>
    <n v="132.6"/>
    <n v="119.7"/>
    <n v="127.2"/>
    <n v="125"/>
    <n v="113.2"/>
    <n v="123.5"/>
    <n v="135.5"/>
    <n v="122.4"/>
    <n v="123"/>
    <n v="131.80000000000001"/>
    <x v="0"/>
  </r>
  <r>
    <x v="2"/>
    <x v="4"/>
    <x v="6"/>
    <x v="55"/>
    <n v="133.6"/>
    <n v="145.69999999999999"/>
    <n v="129.6"/>
    <n v="138.5"/>
    <n v="118.1"/>
    <n v="141.80000000000001"/>
    <n v="159.5"/>
    <n v="133.6"/>
    <n v="120.5"/>
    <n v="135.19999999999999"/>
    <n v="128.5"/>
    <n v="145.80000000000001"/>
    <n v="139"/>
    <n v="148.19999999999999"/>
    <n v="139.30000000000001"/>
    <n v="132.1"/>
    <n v="138.30000000000001"/>
    <n v="132.6"/>
    <n v="129.4"/>
    <n v="131.9"/>
    <n v="129.4"/>
    <n v="116"/>
    <n v="126.6"/>
    <n v="136.80000000000001"/>
    <n v="123.6"/>
    <n v="125.9"/>
    <n v="134.19999999999999"/>
    <x v="0"/>
  </r>
  <r>
    <x v="0"/>
    <x v="4"/>
    <x v="7"/>
    <x v="56"/>
    <n v="134.80000000000001"/>
    <n v="143.1"/>
    <n v="130"/>
    <n v="139.4"/>
    <n v="120.5"/>
    <n v="148"/>
    <n v="162.9"/>
    <n v="137.4"/>
    <n v="120.8"/>
    <n v="134.69999999999999"/>
    <n v="131.6"/>
    <n v="148.69999999999999"/>
    <n v="140.6"/>
    <n v="149"/>
    <n v="145.30000000000001"/>
    <n v="139.19999999999999"/>
    <n v="144.5"/>
    <s v="NA"/>
    <n v="136.4"/>
    <n v="137.30000000000001"/>
    <n v="133"/>
    <n v="120.3"/>
    <n v="131.5"/>
    <n v="140.19999999999999"/>
    <n v="125.4"/>
    <n v="129.69999999999999"/>
    <n v="137.80000000000001"/>
    <x v="0"/>
  </r>
  <r>
    <x v="1"/>
    <x v="4"/>
    <x v="7"/>
    <x v="56"/>
    <n v="133.19999999999999"/>
    <n v="143.9"/>
    <n v="128.30000000000001"/>
    <n v="138.30000000000001"/>
    <n v="114.1"/>
    <n v="142.69999999999999"/>
    <n v="179.8"/>
    <n v="123.5"/>
    <n v="122.1"/>
    <n v="137.5"/>
    <n v="124.6"/>
    <n v="144.5"/>
    <n v="140.5"/>
    <n v="152.1"/>
    <n v="132.69999999999999"/>
    <n v="124.3"/>
    <n v="131.4"/>
    <n v="134.4"/>
    <n v="118.9"/>
    <n v="127.7"/>
    <n v="125.7"/>
    <n v="114.6"/>
    <n v="124.1"/>
    <n v="135.69999999999999"/>
    <n v="123.3"/>
    <n v="123.8"/>
    <n v="132.69999999999999"/>
    <x v="0"/>
  </r>
  <r>
    <x v="2"/>
    <x v="4"/>
    <x v="7"/>
    <x v="56"/>
    <n v="134.30000000000001"/>
    <n v="143.4"/>
    <n v="129.30000000000001"/>
    <n v="139"/>
    <n v="118.1"/>
    <n v="145.5"/>
    <n v="168.6"/>
    <n v="132.69999999999999"/>
    <n v="121.2"/>
    <n v="135.6"/>
    <n v="128.69999999999999"/>
    <n v="146.80000000000001"/>
    <n v="140.6"/>
    <n v="149.80000000000001"/>
    <n v="140.30000000000001"/>
    <n v="133"/>
    <n v="139.30000000000001"/>
    <n v="134.4"/>
    <n v="129.80000000000001"/>
    <n v="132.80000000000001"/>
    <n v="130.19999999999999"/>
    <n v="117.3"/>
    <n v="127.3"/>
    <n v="137.6"/>
    <n v="124.5"/>
    <n v="126.8"/>
    <n v="135.4"/>
    <x v="0"/>
  </r>
  <r>
    <x v="0"/>
    <x v="4"/>
    <x v="8"/>
    <x v="57"/>
    <n v="135.19999999999999"/>
    <n v="142"/>
    <n v="130.5"/>
    <n v="140.19999999999999"/>
    <n v="120.7"/>
    <n v="147.80000000000001"/>
    <n v="154.5"/>
    <n v="137.1"/>
    <n v="121"/>
    <n v="134.69999999999999"/>
    <n v="131.69999999999999"/>
    <n v="149.30000000000001"/>
    <n v="139.6"/>
    <n v="149.80000000000001"/>
    <n v="146.1"/>
    <n v="139.69999999999999"/>
    <n v="145.19999999999999"/>
    <s v="NA"/>
    <n v="137.4"/>
    <n v="137.9"/>
    <n v="133.4"/>
    <n v="121.2"/>
    <n v="132.30000000000001"/>
    <n v="139.6"/>
    <n v="126.7"/>
    <n v="130.30000000000001"/>
    <n v="137.6"/>
    <x v="0"/>
  </r>
  <r>
    <x v="1"/>
    <x v="4"/>
    <x v="8"/>
    <x v="57"/>
    <n v="133.6"/>
    <n v="143"/>
    <n v="129.69999999999999"/>
    <n v="138.69999999999999"/>
    <n v="114.5"/>
    <n v="137.5"/>
    <n v="160.69999999999999"/>
    <n v="124.5"/>
    <n v="122.4"/>
    <n v="137.30000000000001"/>
    <n v="124.8"/>
    <n v="145"/>
    <n v="138"/>
    <n v="153.6"/>
    <n v="133.30000000000001"/>
    <n v="124.6"/>
    <n v="132"/>
    <n v="135.69999999999999"/>
    <n v="120.6"/>
    <n v="128.1"/>
    <n v="126.1"/>
    <n v="115.7"/>
    <n v="124.5"/>
    <n v="135.9"/>
    <n v="124.4"/>
    <n v="124.5"/>
    <n v="132.4"/>
    <x v="0"/>
  </r>
  <r>
    <x v="2"/>
    <x v="4"/>
    <x v="8"/>
    <x v="57"/>
    <n v="134.69999999999999"/>
    <n v="142.4"/>
    <n v="130.19999999999999"/>
    <n v="139.6"/>
    <n v="118.4"/>
    <n v="143"/>
    <n v="156.6"/>
    <n v="132.9"/>
    <n v="121.5"/>
    <n v="135.6"/>
    <n v="128.80000000000001"/>
    <n v="147.30000000000001"/>
    <n v="139"/>
    <n v="150.80000000000001"/>
    <n v="141.1"/>
    <n v="133.4"/>
    <n v="140"/>
    <n v="135.69999999999999"/>
    <n v="131"/>
    <n v="133.30000000000001"/>
    <n v="130.6"/>
    <n v="118.3"/>
    <n v="127.9"/>
    <n v="137.4"/>
    <n v="125.7"/>
    <n v="127.5"/>
    <n v="135.19999999999999"/>
    <x v="0"/>
  </r>
  <r>
    <x v="0"/>
    <x v="4"/>
    <x v="9"/>
    <x v="58"/>
    <n v="135.9"/>
    <n v="141.9"/>
    <n v="131"/>
    <n v="141.5"/>
    <n v="121.4"/>
    <n v="146.69999999999999"/>
    <n v="157.1"/>
    <n v="136.4"/>
    <n v="121.4"/>
    <n v="135.6"/>
    <n v="131.30000000000001"/>
    <n v="150.30000000000001"/>
    <n v="140.4"/>
    <n v="150.5"/>
    <n v="147.19999999999999"/>
    <n v="140.6"/>
    <n v="146.19999999999999"/>
    <s v="NA"/>
    <n v="138.1"/>
    <n v="138.4"/>
    <n v="134.19999999999999"/>
    <n v="121"/>
    <n v="133"/>
    <n v="140.1"/>
    <n v="127.4"/>
    <n v="130.69999999999999"/>
    <n v="138.30000000000001"/>
    <x v="0"/>
  </r>
  <r>
    <x v="1"/>
    <x v="4"/>
    <x v="9"/>
    <x v="58"/>
    <n v="133.9"/>
    <n v="142.80000000000001"/>
    <n v="131.4"/>
    <n v="139.1"/>
    <n v="114.9"/>
    <n v="135.6"/>
    <n v="173.2"/>
    <n v="124.1"/>
    <n v="122.6"/>
    <n v="137.80000000000001"/>
    <n v="125.1"/>
    <n v="145.5"/>
    <n v="139.69999999999999"/>
    <n v="154.6"/>
    <n v="134"/>
    <n v="124.9"/>
    <n v="132.6"/>
    <n v="137.30000000000001"/>
    <n v="122.6"/>
    <n v="128.30000000000001"/>
    <n v="126.6"/>
    <n v="115"/>
    <n v="124.8"/>
    <n v="136.30000000000001"/>
    <n v="124.6"/>
    <n v="124.5"/>
    <n v="133.5"/>
    <x v="0"/>
  </r>
  <r>
    <x v="2"/>
    <x v="4"/>
    <x v="9"/>
    <x v="58"/>
    <n v="135.30000000000001"/>
    <n v="142.19999999999999"/>
    <n v="131.19999999999999"/>
    <n v="140.6"/>
    <n v="119"/>
    <n v="141.5"/>
    <n v="162.6"/>
    <n v="132.30000000000001"/>
    <n v="121.8"/>
    <n v="136.30000000000001"/>
    <n v="128.69999999999999"/>
    <n v="148.1"/>
    <n v="140.1"/>
    <n v="151.6"/>
    <n v="142"/>
    <n v="134.1"/>
    <n v="140.80000000000001"/>
    <n v="137.30000000000001"/>
    <n v="132.19999999999999"/>
    <n v="133.6"/>
    <n v="131.30000000000001"/>
    <n v="117.8"/>
    <n v="128.4"/>
    <n v="137.9"/>
    <n v="126.2"/>
    <n v="127.7"/>
    <n v="136.1"/>
    <x v="0"/>
  </r>
  <r>
    <x v="0"/>
    <x v="4"/>
    <x v="11"/>
    <x v="59"/>
    <n v="136.30000000000001"/>
    <n v="142.5"/>
    <n v="140.5"/>
    <n v="141.5"/>
    <n v="121.6"/>
    <n v="147.30000000000001"/>
    <n v="168"/>
    <n v="135.80000000000001"/>
    <n v="122.5"/>
    <n v="136"/>
    <n v="131.9"/>
    <n v="151.4"/>
    <n v="142.4"/>
    <n v="152.1"/>
    <n v="148.19999999999999"/>
    <n v="141.5"/>
    <n v="147.30000000000001"/>
    <s v="NA"/>
    <n v="141.1"/>
    <n v="139.4"/>
    <n v="135.80000000000001"/>
    <n v="121.6"/>
    <n v="133.69999999999999"/>
    <n v="141.5"/>
    <n v="128.1"/>
    <n v="131.69999999999999"/>
    <n v="140"/>
    <x v="0"/>
  </r>
  <r>
    <x v="1"/>
    <x v="4"/>
    <x v="11"/>
    <x v="59"/>
    <n v="134.30000000000001"/>
    <n v="142.1"/>
    <n v="146.69999999999999"/>
    <n v="139.5"/>
    <n v="115.2"/>
    <n v="136.4"/>
    <n v="185.2"/>
    <n v="122.2"/>
    <n v="123.9"/>
    <n v="138.30000000000001"/>
    <n v="125.4"/>
    <n v="146"/>
    <n v="141.5"/>
    <n v="156.19999999999999"/>
    <n v="135"/>
    <n v="125.4"/>
    <n v="133.5"/>
    <n v="138.6"/>
    <n v="125.7"/>
    <n v="128.80000000000001"/>
    <n v="127.4"/>
    <n v="115.3"/>
    <n v="125.1"/>
    <n v="136.6"/>
    <n v="124.9"/>
    <n v="124.9"/>
    <n v="134.80000000000001"/>
    <x v="0"/>
  </r>
  <r>
    <x v="2"/>
    <x v="4"/>
    <x v="11"/>
    <x v="59"/>
    <n v="135.69999999999999"/>
    <n v="142.4"/>
    <n v="142.9"/>
    <n v="140.80000000000001"/>
    <n v="119.2"/>
    <n v="142.19999999999999"/>
    <n v="173.8"/>
    <n v="131.19999999999999"/>
    <n v="123"/>
    <n v="136.80000000000001"/>
    <n v="129.19999999999999"/>
    <n v="148.9"/>
    <n v="142.1"/>
    <n v="153.19999999999999"/>
    <n v="143"/>
    <n v="134.80000000000001"/>
    <n v="141.80000000000001"/>
    <n v="138.6"/>
    <n v="135.30000000000001"/>
    <n v="134.4"/>
    <n v="132.6"/>
    <n v="118.3"/>
    <n v="128.9"/>
    <n v="138.6"/>
    <n v="126.8"/>
    <n v="128.4"/>
    <n v="137.6"/>
    <x v="0"/>
  </r>
  <r>
    <x v="0"/>
    <x v="4"/>
    <x v="12"/>
    <x v="60"/>
    <n v="136.4"/>
    <n v="143.69999999999999"/>
    <n v="144.80000000000001"/>
    <n v="141.9"/>
    <n v="123.1"/>
    <n v="147.19999999999999"/>
    <n v="161"/>
    <n v="133.80000000000001"/>
    <n v="121.9"/>
    <n v="135.80000000000001"/>
    <n v="131.1"/>
    <n v="151.4"/>
    <n v="141.5"/>
    <n v="153.19999999999999"/>
    <n v="148"/>
    <n v="141.9"/>
    <n v="147.19999999999999"/>
    <s v="NA"/>
    <n v="142.6"/>
    <n v="139.5"/>
    <n v="136.1"/>
    <n v="122"/>
    <n v="133.4"/>
    <n v="141.1"/>
    <n v="127.8"/>
    <n v="131.9"/>
    <n v="139.80000000000001"/>
    <x v="0"/>
  </r>
  <r>
    <x v="1"/>
    <x v="4"/>
    <x v="12"/>
    <x v="60"/>
    <n v="134.4"/>
    <n v="142.6"/>
    <n v="145.9"/>
    <n v="139.5"/>
    <n v="115.9"/>
    <n v="135"/>
    <n v="163.19999999999999"/>
    <n v="119.8"/>
    <n v="120.7"/>
    <n v="139.69999999999999"/>
    <n v="125.7"/>
    <n v="146.30000000000001"/>
    <n v="138.80000000000001"/>
    <n v="157"/>
    <n v="135.6"/>
    <n v="125.6"/>
    <n v="134"/>
    <n v="139.1"/>
    <n v="126.8"/>
    <n v="129.30000000000001"/>
    <n v="128.19999999999999"/>
    <n v="115.3"/>
    <n v="125.6"/>
    <n v="136.69999999999999"/>
    <n v="124.6"/>
    <n v="125.1"/>
    <n v="134.1"/>
    <x v="0"/>
  </r>
  <r>
    <x v="2"/>
    <x v="4"/>
    <x v="12"/>
    <x v="60"/>
    <n v="135.80000000000001"/>
    <n v="143.30000000000001"/>
    <n v="145.19999999999999"/>
    <n v="141"/>
    <n v="120.5"/>
    <n v="141.5"/>
    <n v="161.69999999999999"/>
    <n v="129.1"/>
    <n v="121.5"/>
    <n v="137.1"/>
    <n v="128.80000000000001"/>
    <n v="149"/>
    <n v="140.5"/>
    <n v="154.19999999999999"/>
    <n v="143.1"/>
    <n v="135.1"/>
    <n v="142"/>
    <n v="139.1"/>
    <n v="136.6"/>
    <n v="134.69999999999999"/>
    <n v="133.1"/>
    <n v="118.5"/>
    <n v="129"/>
    <n v="138.5"/>
    <n v="126.5"/>
    <n v="128.6"/>
    <n v="137.19999999999999"/>
    <x v="0"/>
  </r>
  <r>
    <x v="0"/>
    <x v="5"/>
    <x v="0"/>
    <x v="61"/>
    <n v="136.6"/>
    <n v="144.4"/>
    <n v="143.80000000000001"/>
    <n v="142"/>
    <n v="123.2"/>
    <n v="147.9"/>
    <n v="152.1"/>
    <n v="131.80000000000001"/>
    <n v="119.5"/>
    <n v="136"/>
    <n v="131.19999999999999"/>
    <n v="151.80000000000001"/>
    <n v="140.4"/>
    <n v="153.6"/>
    <n v="148.30000000000001"/>
    <n v="142.30000000000001"/>
    <n v="147.5"/>
    <s v="NA"/>
    <n v="142.30000000000001"/>
    <n v="139.80000000000001"/>
    <n v="136"/>
    <n v="122.7"/>
    <n v="134.30000000000001"/>
    <n v="141.6"/>
    <n v="128.6"/>
    <n v="132.30000000000001"/>
    <n v="139.30000000000001"/>
    <x v="0"/>
  </r>
  <r>
    <x v="1"/>
    <x v="5"/>
    <x v="0"/>
    <x v="61"/>
    <n v="134.6"/>
    <n v="143.69999999999999"/>
    <n v="143.6"/>
    <n v="139.6"/>
    <n v="116.4"/>
    <n v="133.80000000000001"/>
    <n v="150.5"/>
    <n v="118.4"/>
    <n v="117.3"/>
    <n v="140.5"/>
    <n v="125.9"/>
    <n v="146.80000000000001"/>
    <n v="137.19999999999999"/>
    <n v="157.69999999999999"/>
    <n v="136"/>
    <n v="125.9"/>
    <n v="134.4"/>
    <n v="140.4"/>
    <n v="127.3"/>
    <n v="129.5"/>
    <n v="129"/>
    <n v="116.3"/>
    <n v="126.2"/>
    <n v="137.1"/>
    <n v="125.5"/>
    <n v="125.8"/>
    <n v="134.1"/>
    <x v="0"/>
  </r>
  <r>
    <x v="2"/>
    <x v="5"/>
    <x v="0"/>
    <x v="61"/>
    <n v="136"/>
    <n v="144.19999999999999"/>
    <n v="143.69999999999999"/>
    <n v="141.1"/>
    <n v="120.7"/>
    <n v="141.30000000000001"/>
    <n v="151.6"/>
    <n v="127.3"/>
    <n v="118.8"/>
    <n v="137.5"/>
    <n v="129"/>
    <n v="149.5"/>
    <n v="139.19999999999999"/>
    <n v="154.69999999999999"/>
    <n v="143.5"/>
    <n v="135.5"/>
    <n v="142.30000000000001"/>
    <n v="140.4"/>
    <n v="136.6"/>
    <n v="134.9"/>
    <n v="133.30000000000001"/>
    <n v="119.3"/>
    <n v="129.69999999999999"/>
    <n v="139"/>
    <n v="127.3"/>
    <n v="129.1"/>
    <n v="136.9"/>
    <x v="0"/>
  </r>
  <r>
    <x v="0"/>
    <x v="5"/>
    <x v="1"/>
    <x v="62"/>
    <n v="136.4"/>
    <n v="143.69999999999999"/>
    <n v="140.6"/>
    <n v="141.5"/>
    <n v="122.9"/>
    <n v="149.4"/>
    <n v="142.4"/>
    <n v="130.19999999999999"/>
    <n v="117.9"/>
    <n v="135.6"/>
    <n v="130.5"/>
    <n v="151.69999999999999"/>
    <n v="138.69999999999999"/>
    <n v="153.30000000000001"/>
    <n v="148.69999999999999"/>
    <n v="142.4"/>
    <n v="147.80000000000001"/>
    <s v="NA"/>
    <n v="142.4"/>
    <n v="139.9"/>
    <n v="136.19999999999999"/>
    <n v="123.3"/>
    <n v="134.30000000000001"/>
    <n v="141.5"/>
    <n v="128.80000000000001"/>
    <n v="132.5"/>
    <n v="138.5"/>
    <x v="0"/>
  </r>
  <r>
    <x v="1"/>
    <x v="5"/>
    <x v="1"/>
    <x v="62"/>
    <n v="134.80000000000001"/>
    <n v="143"/>
    <n v="139.9"/>
    <n v="139.9"/>
    <n v="116.2"/>
    <n v="135.5"/>
    <n v="136.9"/>
    <n v="117"/>
    <n v="115.4"/>
    <n v="140.69999999999999"/>
    <n v="125.9"/>
    <n v="147.1"/>
    <n v="135.6"/>
    <n v="159.30000000000001"/>
    <n v="136.30000000000001"/>
    <n v="126.1"/>
    <n v="134.69999999999999"/>
    <n v="141.30000000000001"/>
    <n v="127.3"/>
    <n v="129.9"/>
    <n v="129.80000000000001"/>
    <n v="117.4"/>
    <n v="126.5"/>
    <n v="137.19999999999999"/>
    <n v="126.2"/>
    <n v="126.5"/>
    <n v="134"/>
    <x v="0"/>
  </r>
  <r>
    <x v="2"/>
    <x v="5"/>
    <x v="1"/>
    <x v="62"/>
    <n v="135.9"/>
    <n v="143.5"/>
    <n v="140.30000000000001"/>
    <n v="140.9"/>
    <n v="120.4"/>
    <n v="142.9"/>
    <n v="140.5"/>
    <n v="125.8"/>
    <n v="117.1"/>
    <n v="137.30000000000001"/>
    <n v="128.6"/>
    <n v="149.6"/>
    <n v="137.6"/>
    <n v="154.9"/>
    <n v="143.80000000000001"/>
    <n v="135.6"/>
    <n v="142.6"/>
    <n v="141.30000000000001"/>
    <n v="136.69999999999999"/>
    <n v="135.19999999999999"/>
    <n v="133.80000000000001"/>
    <n v="120.2"/>
    <n v="129.9"/>
    <n v="139"/>
    <n v="127.7"/>
    <n v="129.6"/>
    <n v="136.4"/>
    <x v="0"/>
  </r>
  <r>
    <x v="0"/>
    <x v="5"/>
    <x v="2"/>
    <x v="63"/>
    <n v="136.80000000000001"/>
    <n v="143.80000000000001"/>
    <n v="140"/>
    <n v="142"/>
    <n v="123.2"/>
    <n v="152.9"/>
    <n v="138"/>
    <n v="129.30000000000001"/>
    <n v="117.1"/>
    <n v="136.30000000000001"/>
    <n v="131.19999999999999"/>
    <n v="152.80000000000001"/>
    <n v="138.6"/>
    <n v="155.1"/>
    <n v="149.19999999999999"/>
    <n v="143"/>
    <n v="148.30000000000001"/>
    <s v="NA"/>
    <n v="142.6"/>
    <n v="139.9"/>
    <n v="136.69999999999999"/>
    <n v="124.6"/>
    <n v="135.1"/>
    <n v="142.69999999999999"/>
    <n v="129.30000000000001"/>
    <n v="133.30000000000001"/>
    <n v="138.69999999999999"/>
    <x v="0"/>
  </r>
  <r>
    <x v="1"/>
    <x v="5"/>
    <x v="2"/>
    <x v="63"/>
    <n v="135"/>
    <n v="143.1"/>
    <n v="135.5"/>
    <n v="139.9"/>
    <n v="116.5"/>
    <n v="138.5"/>
    <n v="128"/>
    <n v="115.5"/>
    <n v="114.2"/>
    <n v="140.69999999999999"/>
    <n v="126.2"/>
    <n v="147.6"/>
    <n v="134.80000000000001"/>
    <n v="159.69999999999999"/>
    <n v="136.69999999999999"/>
    <n v="126.7"/>
    <n v="135.19999999999999"/>
    <n v="142"/>
    <n v="126.4"/>
    <n v="130.80000000000001"/>
    <n v="130.5"/>
    <n v="117.8"/>
    <n v="126.8"/>
    <n v="137.80000000000001"/>
    <n v="126.7"/>
    <n v="127.1"/>
    <n v="134"/>
    <x v="0"/>
  </r>
  <r>
    <x v="2"/>
    <x v="5"/>
    <x v="2"/>
    <x v="63"/>
    <n v="136.19999999999999"/>
    <n v="143.6"/>
    <n v="138.30000000000001"/>
    <n v="141.19999999999999"/>
    <n v="120.7"/>
    <n v="146.19999999999999"/>
    <n v="134.6"/>
    <n v="124.6"/>
    <n v="116.1"/>
    <n v="137.80000000000001"/>
    <n v="129.1"/>
    <n v="150.4"/>
    <n v="137.19999999999999"/>
    <n v="156.30000000000001"/>
    <n v="144.30000000000001"/>
    <n v="136.19999999999999"/>
    <n v="143.1"/>
    <n v="142"/>
    <n v="136.5"/>
    <n v="135.6"/>
    <n v="134.30000000000001"/>
    <n v="121"/>
    <n v="130.4"/>
    <n v="139.80000000000001"/>
    <n v="128.19999999999999"/>
    <n v="130.30000000000001"/>
    <n v="136.5"/>
    <x v="0"/>
  </r>
  <r>
    <x v="0"/>
    <x v="5"/>
    <x v="3"/>
    <x v="64"/>
    <n v="137.1"/>
    <n v="144.5"/>
    <n v="135.9"/>
    <n v="142.4"/>
    <n v="123.5"/>
    <n v="156.4"/>
    <n v="135.1"/>
    <n v="128.4"/>
    <n v="115.2"/>
    <n v="137.19999999999999"/>
    <n v="131.9"/>
    <n v="153.80000000000001"/>
    <n v="138.6"/>
    <n v="156.1"/>
    <n v="150.1"/>
    <n v="143.30000000000001"/>
    <n v="149.1"/>
    <s v="NA"/>
    <n v="143.80000000000001"/>
    <n v="140.9"/>
    <n v="137.6"/>
    <n v="125.3"/>
    <n v="136"/>
    <n v="143.69999999999999"/>
    <n v="130.4"/>
    <n v="134.19999999999999"/>
    <n v="139.1"/>
    <x v="0"/>
  </r>
  <r>
    <x v="1"/>
    <x v="5"/>
    <x v="3"/>
    <x v="64"/>
    <n v="135"/>
    <n v="144.30000000000001"/>
    <n v="130.80000000000001"/>
    <n v="140.30000000000001"/>
    <n v="116.6"/>
    <n v="150.1"/>
    <n v="127.6"/>
    <n v="114"/>
    <n v="110.6"/>
    <n v="140.19999999999999"/>
    <n v="126.5"/>
    <n v="148.30000000000001"/>
    <n v="135.69999999999999"/>
    <n v="159.19999999999999"/>
    <n v="137.80000000000001"/>
    <n v="127.4"/>
    <n v="136.19999999999999"/>
    <n v="142.9"/>
    <n v="124.6"/>
    <n v="131.80000000000001"/>
    <n v="131.30000000000001"/>
    <n v="118.9"/>
    <n v="127.6"/>
    <n v="139.69999999999999"/>
    <n v="127.6"/>
    <n v="128.19999999999999"/>
    <n v="134.80000000000001"/>
    <x v="0"/>
  </r>
  <r>
    <x v="2"/>
    <x v="5"/>
    <x v="3"/>
    <x v="64"/>
    <n v="136.4"/>
    <n v="144.4"/>
    <n v="133.9"/>
    <n v="141.6"/>
    <n v="121"/>
    <n v="153.5"/>
    <n v="132.6"/>
    <n v="123.5"/>
    <n v="113.7"/>
    <n v="138.19999999999999"/>
    <n v="129.6"/>
    <n v="151.19999999999999"/>
    <n v="137.5"/>
    <n v="156.9"/>
    <n v="145.30000000000001"/>
    <n v="136.69999999999999"/>
    <n v="144"/>
    <n v="142.9"/>
    <n v="136.5"/>
    <n v="136.6"/>
    <n v="135.19999999999999"/>
    <n v="121.9"/>
    <n v="131.30000000000001"/>
    <n v="141.4"/>
    <n v="129.19999999999999"/>
    <n v="131.30000000000001"/>
    <n v="137.1"/>
    <x v="0"/>
  </r>
  <r>
    <x v="0"/>
    <x v="5"/>
    <x v="4"/>
    <x v="65"/>
    <n v="137.4"/>
    <n v="145.69999999999999"/>
    <n v="135.5"/>
    <n v="142.9"/>
    <n v="123.6"/>
    <n v="157.5"/>
    <n v="137.80000000000001"/>
    <n v="127.2"/>
    <n v="111.8"/>
    <n v="137.4"/>
    <n v="132.19999999999999"/>
    <n v="154.30000000000001"/>
    <n v="139.1"/>
    <n v="157"/>
    <n v="150.80000000000001"/>
    <n v="144.1"/>
    <n v="149.80000000000001"/>
    <s v="NA"/>
    <n v="144.30000000000001"/>
    <n v="141.80000000000001"/>
    <n v="138.4"/>
    <n v="126.4"/>
    <n v="136.80000000000001"/>
    <n v="144.4"/>
    <n v="131.19999999999999"/>
    <n v="135.1"/>
    <n v="139.80000000000001"/>
    <x v="0"/>
  </r>
  <r>
    <x v="1"/>
    <x v="5"/>
    <x v="4"/>
    <x v="65"/>
    <n v="135"/>
    <n v="148.19999999999999"/>
    <n v="130.5"/>
    <n v="140.69999999999999"/>
    <n v="116.4"/>
    <n v="151.30000000000001"/>
    <n v="131.4"/>
    <n v="112.8"/>
    <n v="105.3"/>
    <n v="139.6"/>
    <n v="126.6"/>
    <n v="148.69999999999999"/>
    <n v="136.4"/>
    <n v="160.30000000000001"/>
    <n v="138.6"/>
    <n v="127.9"/>
    <n v="137"/>
    <n v="143.19999999999999"/>
    <n v="124.7"/>
    <n v="132.5"/>
    <n v="132"/>
    <n v="119.8"/>
    <n v="128"/>
    <n v="140.4"/>
    <n v="128.1"/>
    <n v="128.9"/>
    <n v="135.4"/>
    <x v="0"/>
  </r>
  <r>
    <x v="2"/>
    <x v="5"/>
    <x v="4"/>
    <x v="65"/>
    <n v="136.6"/>
    <n v="146.6"/>
    <n v="133.6"/>
    <n v="142.1"/>
    <n v="121"/>
    <n v="154.6"/>
    <n v="135.6"/>
    <n v="122.3"/>
    <n v="109.6"/>
    <n v="138.1"/>
    <n v="129.9"/>
    <n v="151.69999999999999"/>
    <n v="138.1"/>
    <n v="157.9"/>
    <n v="146"/>
    <n v="137.4"/>
    <n v="144.69999999999999"/>
    <n v="143.19999999999999"/>
    <n v="136.9"/>
    <n v="137.4"/>
    <n v="136"/>
    <n v="122.9"/>
    <n v="131.80000000000001"/>
    <n v="142.1"/>
    <n v="129.9"/>
    <n v="132.1"/>
    <n v="137.80000000000001"/>
    <x v="0"/>
  </r>
  <r>
    <x v="0"/>
    <x v="5"/>
    <x v="5"/>
    <x v="66"/>
    <n v="137.6"/>
    <n v="148.1"/>
    <n v="136.69999999999999"/>
    <n v="143.19999999999999"/>
    <n v="124"/>
    <n v="154.1"/>
    <n v="143.5"/>
    <n v="126"/>
    <n v="112.4"/>
    <n v="137.6"/>
    <n v="132.80000000000001"/>
    <n v="154.30000000000001"/>
    <n v="140"/>
    <n v="157.30000000000001"/>
    <n v="151.30000000000001"/>
    <n v="144.69999999999999"/>
    <n v="150.30000000000001"/>
    <s v="NA"/>
    <n v="145.1"/>
    <n v="142.19999999999999"/>
    <n v="138.4"/>
    <n v="127.4"/>
    <n v="137.80000000000001"/>
    <n v="145.1"/>
    <n v="131.4"/>
    <n v="135.6"/>
    <n v="140.5"/>
    <x v="0"/>
  </r>
  <r>
    <x v="1"/>
    <x v="5"/>
    <x v="5"/>
    <x v="66"/>
    <n v="135.30000000000001"/>
    <n v="149.69999999999999"/>
    <n v="133.9"/>
    <n v="140.80000000000001"/>
    <n v="116.6"/>
    <n v="152.19999999999999"/>
    <n v="144"/>
    <n v="112.3"/>
    <n v="108.4"/>
    <n v="140"/>
    <n v="126.7"/>
    <n v="149"/>
    <n v="138.4"/>
    <n v="161"/>
    <n v="138.9"/>
    <n v="128.69999999999999"/>
    <n v="137.4"/>
    <n v="142.5"/>
    <n v="126.5"/>
    <n v="133.1"/>
    <n v="132.6"/>
    <n v="120.4"/>
    <n v="128.5"/>
    <n v="141.19999999999999"/>
    <n v="128.19999999999999"/>
    <n v="129.5"/>
    <n v="136.19999999999999"/>
    <x v="0"/>
  </r>
  <r>
    <x v="2"/>
    <x v="5"/>
    <x v="5"/>
    <x v="66"/>
    <n v="136.9"/>
    <n v="148.69999999999999"/>
    <n v="135.6"/>
    <n v="142.30000000000001"/>
    <n v="121.3"/>
    <n v="153.19999999999999"/>
    <n v="143.69999999999999"/>
    <n v="121.4"/>
    <n v="111.1"/>
    <n v="138.4"/>
    <n v="130.30000000000001"/>
    <n v="151.80000000000001"/>
    <n v="139.4"/>
    <n v="158.30000000000001"/>
    <n v="146.4"/>
    <n v="138.1"/>
    <n v="145.19999999999999"/>
    <n v="142.5"/>
    <n v="138.1"/>
    <n v="137.9"/>
    <n v="136.19999999999999"/>
    <n v="123.7"/>
    <n v="132.6"/>
    <n v="142.80000000000001"/>
    <n v="130.1"/>
    <n v="132.6"/>
    <n v="138.5"/>
    <x v="0"/>
  </r>
  <r>
    <x v="0"/>
    <x v="5"/>
    <x v="6"/>
    <x v="67"/>
    <n v="138.4"/>
    <n v="149.30000000000001"/>
    <n v="139.30000000000001"/>
    <n v="143.4"/>
    <n v="124.1"/>
    <n v="153.30000000000001"/>
    <n v="154.19999999999999"/>
    <n v="126.4"/>
    <n v="114.3"/>
    <n v="138.19999999999999"/>
    <n v="132.80000000000001"/>
    <n v="154.80000000000001"/>
    <n v="142"/>
    <n v="156.1"/>
    <n v="151.5"/>
    <n v="145.1"/>
    <n v="150.6"/>
    <s v="NA"/>
    <n v="146.80000000000001"/>
    <n v="143.1"/>
    <n v="139"/>
    <n v="127.5"/>
    <n v="138.4"/>
    <n v="145.80000000000001"/>
    <n v="131.4"/>
    <n v="136"/>
    <n v="141.80000000000001"/>
    <x v="0"/>
  </r>
  <r>
    <x v="1"/>
    <x v="5"/>
    <x v="6"/>
    <x v="67"/>
    <n v="135.6"/>
    <n v="148.6"/>
    <n v="139.1"/>
    <n v="141"/>
    <n v="116.7"/>
    <n v="149.69999999999999"/>
    <n v="159.19999999999999"/>
    <n v="112.6"/>
    <n v="111.8"/>
    <n v="140.30000000000001"/>
    <n v="126.8"/>
    <n v="149.4"/>
    <n v="140.30000000000001"/>
    <n v="161.4"/>
    <n v="139.6"/>
    <n v="128.9"/>
    <n v="137.9"/>
    <n v="143.6"/>
    <n v="128.1"/>
    <n v="133.6"/>
    <n v="133.6"/>
    <n v="120.1"/>
    <n v="129"/>
    <n v="144"/>
    <n v="128.19999999999999"/>
    <n v="130.19999999999999"/>
    <n v="137.5"/>
    <x v="0"/>
  </r>
  <r>
    <x v="2"/>
    <x v="5"/>
    <x v="6"/>
    <x v="67"/>
    <n v="137.5"/>
    <n v="149.1"/>
    <n v="139.19999999999999"/>
    <n v="142.5"/>
    <n v="121.4"/>
    <n v="151.6"/>
    <n v="155.9"/>
    <n v="121.7"/>
    <n v="113.5"/>
    <n v="138.9"/>
    <n v="130.30000000000001"/>
    <n v="152.30000000000001"/>
    <n v="141.4"/>
    <n v="157.5"/>
    <n v="146.80000000000001"/>
    <n v="138.4"/>
    <n v="145.6"/>
    <n v="143.6"/>
    <n v="139.69999999999999"/>
    <n v="138.6"/>
    <n v="137"/>
    <n v="123.6"/>
    <n v="133.1"/>
    <n v="144.69999999999999"/>
    <n v="130.1"/>
    <n v="133.19999999999999"/>
    <n v="139.80000000000001"/>
    <x v="0"/>
  </r>
  <r>
    <x v="0"/>
    <x v="5"/>
    <x v="7"/>
    <x v="68"/>
    <n v="139.19999999999999"/>
    <n v="148.80000000000001"/>
    <n v="139.1"/>
    <n v="143.5"/>
    <n v="125"/>
    <n v="154.4"/>
    <n v="156.30000000000001"/>
    <n v="126.8"/>
    <n v="115.4"/>
    <n v="138.6"/>
    <n v="133.80000000000001"/>
    <n v="155.19999999999999"/>
    <n v="142.69999999999999"/>
    <n v="156.4"/>
    <n v="152.1"/>
    <n v="145.80000000000001"/>
    <n v="151.30000000000001"/>
    <s v="NA"/>
    <n v="147.69999999999999"/>
    <n v="143.80000000000001"/>
    <n v="139.4"/>
    <n v="128.30000000000001"/>
    <n v="138.6"/>
    <n v="146.9"/>
    <n v="131.30000000000001"/>
    <n v="136.6"/>
    <n v="142.5"/>
    <x v="0"/>
  </r>
  <r>
    <x v="1"/>
    <x v="5"/>
    <x v="7"/>
    <x v="68"/>
    <n v="136.5"/>
    <n v="146.4"/>
    <n v="136.6"/>
    <n v="141.19999999999999"/>
    <n v="117.4"/>
    <n v="146.30000000000001"/>
    <n v="157.30000000000001"/>
    <n v="113.6"/>
    <n v="113.3"/>
    <n v="141.1"/>
    <n v="127.4"/>
    <n v="150.4"/>
    <n v="140.1"/>
    <n v="162.1"/>
    <n v="140"/>
    <n v="129"/>
    <n v="138.30000000000001"/>
    <n v="144.6"/>
    <n v="129.80000000000001"/>
    <n v="134.4"/>
    <n v="134.9"/>
    <n v="120.7"/>
    <n v="129.80000000000001"/>
    <n v="145.30000000000001"/>
    <n v="128.30000000000001"/>
    <n v="131"/>
    <n v="138"/>
    <x v="0"/>
  </r>
  <r>
    <x v="2"/>
    <x v="5"/>
    <x v="7"/>
    <x v="68"/>
    <n v="138.30000000000001"/>
    <n v="148"/>
    <n v="138.1"/>
    <n v="142.6"/>
    <n v="122.2"/>
    <n v="150.6"/>
    <n v="156.6"/>
    <n v="122.4"/>
    <n v="114.7"/>
    <n v="139.4"/>
    <n v="131.1"/>
    <n v="153"/>
    <n v="141.69999999999999"/>
    <n v="157.9"/>
    <n v="147.30000000000001"/>
    <n v="138.80000000000001"/>
    <n v="146.1"/>
    <n v="144.6"/>
    <n v="140.9"/>
    <n v="139.4"/>
    <n v="137.69999999999999"/>
    <n v="124.3"/>
    <n v="133.6"/>
    <n v="146"/>
    <n v="130.1"/>
    <n v="133.9"/>
    <n v="140.4"/>
    <x v="0"/>
  </r>
  <r>
    <x v="0"/>
    <x v="5"/>
    <x v="8"/>
    <x v="69"/>
    <n v="139.4"/>
    <n v="147.19999999999999"/>
    <n v="136.6"/>
    <n v="143.69999999999999"/>
    <n v="124.6"/>
    <n v="150.1"/>
    <n v="149.4"/>
    <n v="125.4"/>
    <n v="114.4"/>
    <n v="138.69999999999999"/>
    <n v="133.1"/>
    <n v="155.9"/>
    <n v="141.30000000000001"/>
    <n v="157.69999999999999"/>
    <n v="152.1"/>
    <n v="146.1"/>
    <n v="151.30000000000001"/>
    <s v="NA"/>
    <n v="149"/>
    <n v="144"/>
    <n v="140"/>
    <n v="129.9"/>
    <n v="140"/>
    <n v="147.6"/>
    <n v="132"/>
    <n v="137.4"/>
    <n v="142.1"/>
    <x v="0"/>
  </r>
  <r>
    <x v="1"/>
    <x v="5"/>
    <x v="8"/>
    <x v="69"/>
    <n v="137"/>
    <n v="143.1"/>
    <n v="132.80000000000001"/>
    <n v="141.5"/>
    <n v="117.8"/>
    <n v="140"/>
    <n v="151.30000000000001"/>
    <n v="113.5"/>
    <n v="112.3"/>
    <n v="141.19999999999999"/>
    <n v="127.7"/>
    <n v="151.30000000000001"/>
    <n v="138.9"/>
    <n v="163.30000000000001"/>
    <n v="140.80000000000001"/>
    <n v="129.30000000000001"/>
    <n v="139.1"/>
    <n v="145.30000000000001"/>
    <n v="131.19999999999999"/>
    <n v="134.9"/>
    <n v="135.69999999999999"/>
    <n v="122.5"/>
    <n v="130.19999999999999"/>
    <n v="145.19999999999999"/>
    <n v="129.30000000000001"/>
    <n v="131.9"/>
    <n v="138.1"/>
    <x v="0"/>
  </r>
  <r>
    <x v="2"/>
    <x v="5"/>
    <x v="8"/>
    <x v="69"/>
    <n v="138.6"/>
    <n v="145.80000000000001"/>
    <n v="135.1"/>
    <n v="142.9"/>
    <n v="122.1"/>
    <n v="145.4"/>
    <n v="150"/>
    <n v="121.4"/>
    <n v="113.7"/>
    <n v="139.5"/>
    <n v="130.80000000000001"/>
    <n v="153.80000000000001"/>
    <n v="140.4"/>
    <n v="159.19999999999999"/>
    <n v="147.69999999999999"/>
    <n v="139.1"/>
    <n v="146.5"/>
    <n v="145.30000000000001"/>
    <n v="142.30000000000001"/>
    <n v="139.69999999999999"/>
    <n v="138.4"/>
    <n v="126"/>
    <n v="134.5"/>
    <n v="146.19999999999999"/>
    <n v="130.9"/>
    <n v="134.69999999999999"/>
    <n v="140.19999999999999"/>
    <x v="0"/>
  </r>
  <r>
    <x v="0"/>
    <x v="5"/>
    <x v="9"/>
    <x v="70"/>
    <n v="139.30000000000001"/>
    <n v="147.6"/>
    <n v="134.6"/>
    <n v="141.9"/>
    <n v="123.5"/>
    <n v="144.5"/>
    <n v="147.6"/>
    <n v="121.4"/>
    <n v="112.3"/>
    <n v="139.5"/>
    <n v="134.6"/>
    <n v="155.19999999999999"/>
    <n v="140.19999999999999"/>
    <n v="159.6"/>
    <n v="150.69999999999999"/>
    <n v="144.5"/>
    <n v="149.80000000000001"/>
    <s v="NA"/>
    <n v="149.69999999999999"/>
    <n v="147.5"/>
    <n v="144.80000000000001"/>
    <n v="130.80000000000001"/>
    <n v="140.1"/>
    <n v="148"/>
    <n v="134.4"/>
    <n v="139.80000000000001"/>
    <n v="142.19999999999999"/>
    <x v="0"/>
  </r>
  <r>
    <x v="1"/>
    <x v="5"/>
    <x v="9"/>
    <x v="70"/>
    <n v="137.6"/>
    <n v="144.9"/>
    <n v="133.5"/>
    <n v="141.5"/>
    <n v="118"/>
    <n v="139.5"/>
    <n v="153"/>
    <n v="113.2"/>
    <n v="112.8"/>
    <n v="141.1"/>
    <n v="127.6"/>
    <n v="152"/>
    <n v="139.4"/>
    <n v="164"/>
    <n v="141.5"/>
    <n v="129.80000000000001"/>
    <n v="139.69999999999999"/>
    <n v="146.30000000000001"/>
    <n v="133.4"/>
    <n v="135.1"/>
    <n v="136.19999999999999"/>
    <n v="123.3"/>
    <n v="130.69999999999999"/>
    <n v="145.5"/>
    <n v="130.4"/>
    <n v="132.5"/>
    <n v="138.9"/>
    <x v="0"/>
  </r>
  <r>
    <x v="2"/>
    <x v="5"/>
    <x v="9"/>
    <x v="70"/>
    <n v="137.4"/>
    <n v="149.5"/>
    <n v="137.30000000000001"/>
    <n v="141.9"/>
    <n v="121.1"/>
    <n v="142.5"/>
    <n v="146.69999999999999"/>
    <n v="119.1"/>
    <n v="111.9"/>
    <n v="141"/>
    <n v="133.6"/>
    <n v="154.5"/>
    <n v="139.69999999999999"/>
    <n v="162.6"/>
    <n v="148"/>
    <n v="139.19999999999999"/>
    <n v="146.80000000000001"/>
    <n v="146.9"/>
    <n v="145.30000000000001"/>
    <n v="142.19999999999999"/>
    <n v="142.1"/>
    <n v="125.5"/>
    <n v="136.5"/>
    <n v="147.80000000000001"/>
    <n v="132"/>
    <n v="136.30000000000001"/>
    <n v="140.80000000000001"/>
    <x v="0"/>
  </r>
  <r>
    <x v="0"/>
    <x v="5"/>
    <x v="11"/>
    <x v="71"/>
    <n v="137.1"/>
    <n v="150.80000000000001"/>
    <n v="136.69999999999999"/>
    <n v="141.9"/>
    <n v="122.8"/>
    <n v="143.9"/>
    <n v="147.5"/>
    <n v="121"/>
    <n v="111.6"/>
    <n v="140.6"/>
    <n v="137.5"/>
    <n v="156.1"/>
    <n v="140"/>
    <n v="161.9"/>
    <n v="151.69999999999999"/>
    <n v="145.5"/>
    <n v="150.80000000000001"/>
    <s v="NA"/>
    <n v="150.30000000000001"/>
    <n v="148"/>
    <n v="145.4"/>
    <n v="130.30000000000001"/>
    <n v="143.1"/>
    <n v="150.19999999999999"/>
    <n v="133.1"/>
    <n v="140.1"/>
    <n v="142.4"/>
    <x v="0"/>
  </r>
  <r>
    <x v="1"/>
    <x v="5"/>
    <x v="11"/>
    <x v="71"/>
    <n v="138.1"/>
    <n v="146.30000000000001"/>
    <n v="137.80000000000001"/>
    <n v="141.6"/>
    <n v="118.1"/>
    <n v="141.5"/>
    <n v="145.19999999999999"/>
    <n v="115.3"/>
    <n v="112.5"/>
    <n v="141.4"/>
    <n v="128"/>
    <n v="152.6"/>
    <n v="139.1"/>
    <n v="164.4"/>
    <n v="142.4"/>
    <n v="130.19999999999999"/>
    <n v="140.5"/>
    <n v="146.9"/>
    <n v="136.69999999999999"/>
    <n v="135.80000000000001"/>
    <n v="136.80000000000001"/>
    <n v="121.2"/>
    <n v="131.30000000000001"/>
    <n v="146.1"/>
    <n v="130.5"/>
    <n v="132.19999999999999"/>
    <n v="139"/>
    <x v="0"/>
  </r>
  <r>
    <x v="2"/>
    <x v="5"/>
    <x v="11"/>
    <x v="71"/>
    <n v="137.4"/>
    <n v="149.19999999999999"/>
    <n v="137.1"/>
    <n v="141.80000000000001"/>
    <n v="121.1"/>
    <n v="142.80000000000001"/>
    <n v="146.69999999999999"/>
    <n v="119.1"/>
    <n v="111.9"/>
    <n v="140.9"/>
    <n v="133.5"/>
    <n v="154.5"/>
    <n v="139.69999999999999"/>
    <n v="162.6"/>
    <n v="148"/>
    <n v="139.1"/>
    <n v="146.69999999999999"/>
    <n v="146.9"/>
    <n v="145.1"/>
    <n v="142.19999999999999"/>
    <n v="142.1"/>
    <n v="125.5"/>
    <n v="136.5"/>
    <n v="147.80000000000001"/>
    <n v="132"/>
    <n v="136.30000000000001"/>
    <n v="140.80000000000001"/>
    <x v="0"/>
  </r>
  <r>
    <x v="0"/>
    <x v="5"/>
    <x v="12"/>
    <x v="72"/>
    <n v="137.1"/>
    <n v="151.9"/>
    <n v="137.4"/>
    <n v="142.4"/>
    <n v="124.2"/>
    <n v="140.19999999999999"/>
    <n v="136.6"/>
    <n v="120.9"/>
    <n v="109.9"/>
    <n v="140.19999999999999"/>
    <n v="137.80000000000001"/>
    <n v="156"/>
    <n v="138.5"/>
    <n v="162.4"/>
    <n v="151.6"/>
    <n v="145.9"/>
    <n v="150.80000000000001"/>
    <s v="NA"/>
    <n v="149"/>
    <n v="149.5"/>
    <n v="149.6"/>
    <n v="128.9"/>
    <n v="143.30000000000001"/>
    <n v="155.1"/>
    <n v="133.19999999999999"/>
    <n v="141.6"/>
    <n v="141.9"/>
    <x v="0"/>
  </r>
  <r>
    <x v="1"/>
    <x v="5"/>
    <x v="12"/>
    <x v="72"/>
    <n v="138.5"/>
    <n v="147.80000000000001"/>
    <n v="141.1"/>
    <n v="141.6"/>
    <n v="118.1"/>
    <n v="138.5"/>
    <n v="132.4"/>
    <n v="117.5"/>
    <n v="111"/>
    <n v="141.5"/>
    <n v="128.1"/>
    <n v="152.9"/>
    <n v="137.6"/>
    <n v="164.6"/>
    <n v="142.69999999999999"/>
    <n v="130.30000000000001"/>
    <n v="140.80000000000001"/>
    <n v="146.5"/>
    <n v="132.4"/>
    <n v="136.19999999999999"/>
    <n v="137.30000000000001"/>
    <n v="118.8"/>
    <n v="131.69999999999999"/>
    <n v="146.5"/>
    <n v="130.80000000000001"/>
    <n v="131.69999999999999"/>
    <n v="138"/>
    <x v="0"/>
  </r>
  <r>
    <x v="2"/>
    <x v="5"/>
    <x v="12"/>
    <x v="72"/>
    <n v="137.5"/>
    <n v="150.5"/>
    <n v="138.80000000000001"/>
    <n v="142.1"/>
    <n v="122"/>
    <n v="139.4"/>
    <n v="135.19999999999999"/>
    <n v="119.8"/>
    <n v="110.3"/>
    <n v="140.6"/>
    <n v="133.80000000000001"/>
    <n v="154.6"/>
    <n v="138.19999999999999"/>
    <n v="163"/>
    <n v="148.1"/>
    <n v="139.4"/>
    <n v="146.80000000000001"/>
    <n v="146.5"/>
    <n v="142.69999999999999"/>
    <n v="143.19999999999999"/>
    <n v="144.9"/>
    <n v="123.6"/>
    <n v="136.80000000000001"/>
    <n v="150.1"/>
    <n v="132.19999999999999"/>
    <n v="136.80000000000001"/>
    <n v="140.1"/>
    <x v="0"/>
  </r>
  <r>
    <x v="0"/>
    <x v="6"/>
    <x v="0"/>
    <x v="73"/>
    <n v="136.6"/>
    <n v="152.5"/>
    <n v="138.19999999999999"/>
    <n v="142.4"/>
    <n v="123.9"/>
    <n v="135.5"/>
    <n v="131.69999999999999"/>
    <n v="121.3"/>
    <n v="108.4"/>
    <n v="138.9"/>
    <n v="137"/>
    <n v="155.80000000000001"/>
    <n v="137.4"/>
    <n v="162.69999999999999"/>
    <n v="150.6"/>
    <n v="145.1"/>
    <n v="149.9"/>
    <s v="NA"/>
    <n v="146.19999999999999"/>
    <n v="150.1"/>
    <n v="149.6"/>
    <n v="128.6"/>
    <n v="142.9"/>
    <n v="155.19999999999999"/>
    <n v="133.5"/>
    <n v="141.69999999999999"/>
    <n v="141"/>
    <x v="0"/>
  </r>
  <r>
    <x v="1"/>
    <x v="6"/>
    <x v="0"/>
    <x v="73"/>
    <n v="138.30000000000001"/>
    <n v="149.4"/>
    <n v="143.5"/>
    <n v="141.69999999999999"/>
    <n v="118.1"/>
    <n v="135.19999999999999"/>
    <n v="130.5"/>
    <n v="118.2"/>
    <n v="110.4"/>
    <n v="140.4"/>
    <n v="128.1"/>
    <n v="153.19999999999999"/>
    <n v="137.30000000000001"/>
    <n v="164.7"/>
    <n v="143"/>
    <n v="130.4"/>
    <n v="141.1"/>
    <n v="147.69999999999999"/>
    <n v="128.6"/>
    <n v="136.30000000000001"/>
    <n v="137.80000000000001"/>
    <n v="118.6"/>
    <n v="131.9"/>
    <n v="146.6"/>
    <n v="131.69999999999999"/>
    <n v="131.80000000000001"/>
    <n v="138"/>
    <x v="0"/>
  </r>
  <r>
    <x v="2"/>
    <x v="6"/>
    <x v="0"/>
    <x v="73"/>
    <n v="137.1"/>
    <n v="151.4"/>
    <n v="140.19999999999999"/>
    <n v="142.1"/>
    <n v="121.8"/>
    <n v="135.4"/>
    <n v="131.30000000000001"/>
    <n v="120.3"/>
    <n v="109.1"/>
    <n v="139.4"/>
    <n v="133.30000000000001"/>
    <n v="154.6"/>
    <n v="137.4"/>
    <n v="163.19999999999999"/>
    <n v="147.6"/>
    <n v="139"/>
    <n v="146.4"/>
    <n v="147.69999999999999"/>
    <n v="139.5"/>
    <n v="143.6"/>
    <n v="145.1"/>
    <n v="123.3"/>
    <n v="136.69999999999999"/>
    <n v="150.19999999999999"/>
    <n v="132.80000000000001"/>
    <n v="136.9"/>
    <n v="139.6"/>
    <x v="0"/>
  </r>
  <r>
    <x v="0"/>
    <x v="6"/>
    <x v="1"/>
    <x v="74"/>
    <n v="136.80000000000001"/>
    <n v="153"/>
    <n v="139.1"/>
    <n v="142.5"/>
    <n v="124.1"/>
    <n v="135.80000000000001"/>
    <n v="128.69999999999999"/>
    <n v="121.5"/>
    <n v="108.3"/>
    <n v="139.19999999999999"/>
    <n v="137.4"/>
    <n v="156.19999999999999"/>
    <n v="137.19999999999999"/>
    <n v="162.80000000000001"/>
    <n v="150.5"/>
    <n v="146.1"/>
    <n v="149.9"/>
    <s v="NA"/>
    <n v="145.30000000000001"/>
    <n v="150.1"/>
    <n v="149.9"/>
    <n v="129.19999999999999"/>
    <n v="143.4"/>
    <n v="155.5"/>
    <n v="134.9"/>
    <n v="142.19999999999999"/>
    <n v="141"/>
    <x v="0"/>
  </r>
  <r>
    <x v="1"/>
    <x v="6"/>
    <x v="1"/>
    <x v="74"/>
    <n v="139.4"/>
    <n v="150.1"/>
    <n v="145.30000000000001"/>
    <n v="141.69999999999999"/>
    <n v="118.4"/>
    <n v="137"/>
    <n v="131.6"/>
    <n v="119.9"/>
    <n v="110.4"/>
    <n v="140.80000000000001"/>
    <n v="128.30000000000001"/>
    <n v="153.5"/>
    <n v="138"/>
    <n v="164.9"/>
    <n v="143.30000000000001"/>
    <n v="130.80000000000001"/>
    <n v="141.4"/>
    <n v="148.5"/>
    <n v="127.1"/>
    <n v="136.6"/>
    <n v="138.5"/>
    <n v="119.2"/>
    <n v="132.19999999999999"/>
    <n v="146.6"/>
    <n v="133"/>
    <n v="132.4"/>
    <n v="138.6"/>
    <x v="0"/>
  </r>
  <r>
    <x v="2"/>
    <x v="6"/>
    <x v="1"/>
    <x v="74"/>
    <n v="137.6"/>
    <n v="152"/>
    <n v="141.5"/>
    <n v="142.19999999999999"/>
    <n v="122"/>
    <n v="136.4"/>
    <n v="129.69999999999999"/>
    <n v="121"/>
    <n v="109"/>
    <n v="139.69999999999999"/>
    <n v="133.6"/>
    <n v="154.9"/>
    <n v="137.5"/>
    <n v="163.4"/>
    <n v="147.69999999999999"/>
    <n v="139.69999999999999"/>
    <n v="146.5"/>
    <n v="148.5"/>
    <n v="138.4"/>
    <n v="143.69999999999999"/>
    <n v="145.6"/>
    <n v="123.9"/>
    <n v="137.1"/>
    <n v="150.30000000000001"/>
    <n v="134.1"/>
    <n v="137.4"/>
    <n v="139.9"/>
    <x v="0"/>
  </r>
  <r>
    <x v="0"/>
    <x v="6"/>
    <x v="2"/>
    <x v="75"/>
    <n v="136.9"/>
    <n v="154.1"/>
    <n v="138.69999999999999"/>
    <n v="142.5"/>
    <n v="124.1"/>
    <n v="136.1"/>
    <n v="128.19999999999999"/>
    <n v="122.3"/>
    <n v="108.3"/>
    <n v="138.9"/>
    <n v="137.4"/>
    <n v="156.4"/>
    <n v="137.30000000000001"/>
    <n v="162.9"/>
    <n v="150.80000000000001"/>
    <n v="146.1"/>
    <n v="150.1"/>
    <s v="NA"/>
    <n v="146.4"/>
    <n v="150"/>
    <n v="150.4"/>
    <n v="129.9"/>
    <n v="143.80000000000001"/>
    <n v="155.5"/>
    <n v="134"/>
    <n v="142.4"/>
    <n v="141.19999999999999"/>
    <x v="1"/>
  </r>
  <r>
    <x v="1"/>
    <x v="6"/>
    <x v="2"/>
    <x v="75"/>
    <n v="139.69999999999999"/>
    <n v="151.1"/>
    <n v="142.9"/>
    <n v="141.9"/>
    <n v="118.4"/>
    <n v="139.4"/>
    <n v="141.19999999999999"/>
    <n v="120.7"/>
    <n v="110.4"/>
    <n v="140.69999999999999"/>
    <n v="128.5"/>
    <n v="153.9"/>
    <n v="139.6"/>
    <n v="165.3"/>
    <n v="143.5"/>
    <n v="131.19999999999999"/>
    <n v="141.6"/>
    <n v="149"/>
    <n v="128.80000000000001"/>
    <n v="136.80000000000001"/>
    <n v="139.19999999999999"/>
    <n v="119.9"/>
    <n v="133"/>
    <n v="146.69999999999999"/>
    <n v="132.5"/>
    <n v="132.80000000000001"/>
    <n v="139.5"/>
    <x v="1"/>
  </r>
  <r>
    <x v="2"/>
    <x v="6"/>
    <x v="2"/>
    <x v="75"/>
    <n v="137.80000000000001"/>
    <n v="153"/>
    <n v="140.30000000000001"/>
    <n v="142.30000000000001"/>
    <n v="122"/>
    <n v="137.6"/>
    <n v="132.6"/>
    <n v="121.8"/>
    <n v="109"/>
    <n v="139.5"/>
    <n v="133.69999999999999"/>
    <n v="155.19999999999999"/>
    <n v="138.1"/>
    <n v="163.5"/>
    <n v="147.9"/>
    <n v="139.9"/>
    <n v="146.69999999999999"/>
    <n v="149"/>
    <n v="139.69999999999999"/>
    <n v="143.80000000000001"/>
    <n v="146.19999999999999"/>
    <n v="124.6"/>
    <n v="137.69999999999999"/>
    <n v="150.30000000000001"/>
    <n v="133.4"/>
    <n v="137.69999999999999"/>
    <n v="140.4"/>
    <x v="1"/>
  </r>
  <r>
    <x v="0"/>
    <x v="6"/>
    <x v="4"/>
    <x v="76"/>
    <n v="137.4"/>
    <n v="159.5"/>
    <n v="134.5"/>
    <n v="142.6"/>
    <n v="124"/>
    <n v="143.69999999999999"/>
    <n v="133.4"/>
    <n v="125.1"/>
    <n v="109.3"/>
    <n v="139.30000000000001"/>
    <n v="137.69999999999999"/>
    <n v="156.4"/>
    <n v="139.19999999999999"/>
    <n v="163.30000000000001"/>
    <n v="151.30000000000001"/>
    <n v="146.6"/>
    <n v="150.69999999999999"/>
    <s v="NA"/>
    <n v="146.9"/>
    <n v="149.5"/>
    <n v="151.30000000000001"/>
    <n v="130.19999999999999"/>
    <n v="145.9"/>
    <n v="156.69999999999999"/>
    <n v="133.9"/>
    <n v="142.9"/>
    <n v="142.4"/>
    <x v="1"/>
  </r>
  <r>
    <x v="1"/>
    <x v="6"/>
    <x v="4"/>
    <x v="76"/>
    <n v="140.4"/>
    <n v="156.69999999999999"/>
    <n v="138.30000000000001"/>
    <n v="142.4"/>
    <n v="118.6"/>
    <n v="149.69999999999999"/>
    <n v="161.6"/>
    <n v="124.4"/>
    <n v="111.2"/>
    <n v="141"/>
    <n v="128.9"/>
    <n v="154.5"/>
    <n v="143.80000000000001"/>
    <n v="166.2"/>
    <n v="144"/>
    <n v="131.69999999999999"/>
    <n v="142.19999999999999"/>
    <n v="150.1"/>
    <n v="129.4"/>
    <n v="137.19999999999999"/>
    <n v="139.80000000000001"/>
    <n v="120.1"/>
    <n v="134"/>
    <n v="148"/>
    <n v="132.6"/>
    <n v="133.30000000000001"/>
    <n v="141.5"/>
    <x v="1"/>
  </r>
  <r>
    <x v="2"/>
    <x v="6"/>
    <x v="4"/>
    <x v="76"/>
    <n v="138.30000000000001"/>
    <n v="158.5"/>
    <n v="136"/>
    <n v="142.5"/>
    <n v="122"/>
    <n v="146.5"/>
    <n v="143"/>
    <n v="124.9"/>
    <n v="109.9"/>
    <n v="139.9"/>
    <n v="134"/>
    <n v="155.5"/>
    <n v="140.9"/>
    <n v="164.1"/>
    <n v="148.4"/>
    <n v="140.4"/>
    <n v="147.30000000000001"/>
    <n v="150.1"/>
    <n v="140.30000000000001"/>
    <n v="143.69999999999999"/>
    <n v="146.9"/>
    <n v="124.9"/>
    <n v="139.19999999999999"/>
    <n v="151.6"/>
    <n v="133.4"/>
    <n v="138.19999999999999"/>
    <n v="142"/>
    <x v="1"/>
  </r>
  <r>
    <x v="0"/>
    <x v="6"/>
    <x v="5"/>
    <x v="77"/>
    <n v="137.80000000000001"/>
    <n v="163.5"/>
    <n v="136.19999999999999"/>
    <n v="143.19999999999999"/>
    <n v="124.3"/>
    <n v="143.30000000000001"/>
    <n v="140.6"/>
    <n v="128.69999999999999"/>
    <n v="110.6"/>
    <n v="140.4"/>
    <n v="138"/>
    <n v="156.6"/>
    <n v="141"/>
    <n v="164.2"/>
    <n v="151.4"/>
    <n v="146.5"/>
    <n v="150.69999999999999"/>
    <s v="NA"/>
    <n v="147.80000000000001"/>
    <n v="149.6"/>
    <n v="151.69999999999999"/>
    <n v="130.19999999999999"/>
    <n v="146.4"/>
    <n v="157.69999999999999"/>
    <n v="134.80000000000001"/>
    <n v="143.30000000000001"/>
    <n v="143.6"/>
    <x v="1"/>
  </r>
  <r>
    <x v="1"/>
    <x v="6"/>
    <x v="5"/>
    <x v="77"/>
    <n v="140.69999999999999"/>
    <n v="159.6"/>
    <n v="140.4"/>
    <n v="143.4"/>
    <n v="118.6"/>
    <n v="150.9"/>
    <n v="169.8"/>
    <n v="127.4"/>
    <n v="111.8"/>
    <n v="141"/>
    <n v="129"/>
    <n v="155.1"/>
    <n v="145.6"/>
    <n v="166.7"/>
    <n v="144.30000000000001"/>
    <n v="131.69999999999999"/>
    <n v="142.4"/>
    <n v="149.4"/>
    <n v="130.5"/>
    <n v="137.4"/>
    <n v="140.30000000000001"/>
    <n v="119.6"/>
    <n v="134.30000000000001"/>
    <n v="148.9"/>
    <n v="133.69999999999999"/>
    <n v="133.6"/>
    <n v="142.1"/>
    <x v="1"/>
  </r>
  <r>
    <x v="2"/>
    <x v="6"/>
    <x v="5"/>
    <x v="77"/>
    <n v="138.69999999999999"/>
    <n v="162.1"/>
    <n v="137.80000000000001"/>
    <n v="143.30000000000001"/>
    <n v="122.2"/>
    <n v="146.80000000000001"/>
    <n v="150.5"/>
    <n v="128.30000000000001"/>
    <n v="111"/>
    <n v="140.6"/>
    <n v="134.19999999999999"/>
    <n v="155.9"/>
    <n v="142.69999999999999"/>
    <n v="164.9"/>
    <n v="148.6"/>
    <n v="140.4"/>
    <n v="147.4"/>
    <n v="149.4"/>
    <n v="141.19999999999999"/>
    <n v="143.80000000000001"/>
    <n v="147.4"/>
    <n v="124.6"/>
    <n v="139.6"/>
    <n v="152.5"/>
    <n v="134.30000000000001"/>
    <n v="138.6"/>
    <n v="142.9"/>
    <x v="1"/>
  </r>
  <r>
    <x v="0"/>
    <x v="6"/>
    <x v="6"/>
    <x v="78"/>
    <n v="138.4"/>
    <n v="164"/>
    <n v="138.4"/>
    <n v="143.9"/>
    <n v="124.4"/>
    <n v="146.4"/>
    <n v="150.1"/>
    <n v="130.6"/>
    <n v="110.8"/>
    <n v="141.69999999999999"/>
    <n v="138.5"/>
    <n v="156.69999999999999"/>
    <n v="143"/>
    <n v="164.5"/>
    <n v="151.6"/>
    <n v="146.6"/>
    <n v="150.9"/>
    <s v="NA"/>
    <n v="146.80000000000001"/>
    <n v="150"/>
    <n v="152.19999999999999"/>
    <n v="131.19999999999999"/>
    <n v="147.5"/>
    <n v="159.1"/>
    <n v="136.1"/>
    <n v="144.19999999999999"/>
    <n v="144.9"/>
    <x v="1"/>
  </r>
  <r>
    <x v="1"/>
    <x v="6"/>
    <x v="6"/>
    <x v="78"/>
    <n v="141.4"/>
    <n v="160.19999999999999"/>
    <n v="142.5"/>
    <n v="144.1"/>
    <n v="119.3"/>
    <n v="154.69999999999999"/>
    <n v="180.1"/>
    <n v="128.9"/>
    <n v="111.8"/>
    <n v="141.6"/>
    <n v="129.5"/>
    <n v="155.6"/>
    <n v="147.69999999999999"/>
    <n v="167.2"/>
    <n v="144.69999999999999"/>
    <n v="131.9"/>
    <n v="142.69999999999999"/>
    <n v="150.6"/>
    <n v="127"/>
    <n v="137.69999999999999"/>
    <n v="140.80000000000001"/>
    <n v="120.6"/>
    <n v="135"/>
    <n v="150.4"/>
    <n v="135.1"/>
    <n v="134.5"/>
    <n v="143.30000000000001"/>
    <x v="1"/>
  </r>
  <r>
    <x v="2"/>
    <x v="6"/>
    <x v="6"/>
    <x v="78"/>
    <n v="139.30000000000001"/>
    <n v="162.69999999999999"/>
    <n v="140"/>
    <n v="144"/>
    <n v="122.5"/>
    <n v="150.30000000000001"/>
    <n v="160.30000000000001"/>
    <n v="130"/>
    <n v="111.1"/>
    <n v="141.69999999999999"/>
    <n v="134.69999999999999"/>
    <n v="156.19999999999999"/>
    <n v="144.69999999999999"/>
    <n v="165.2"/>
    <n v="148.9"/>
    <n v="140.5"/>
    <n v="147.6"/>
    <n v="150.6"/>
    <n v="139.30000000000001"/>
    <n v="144.19999999999999"/>
    <n v="147.9"/>
    <n v="125.6"/>
    <n v="140.5"/>
    <n v="154"/>
    <n v="135.69999999999999"/>
    <n v="139.5"/>
    <n v="144.19999999999999"/>
    <x v="1"/>
  </r>
  <r>
    <x v="0"/>
    <x v="6"/>
    <x v="7"/>
    <x v="79"/>
    <n v="139.19999999999999"/>
    <n v="161.9"/>
    <n v="137.1"/>
    <n v="144.6"/>
    <n v="124.7"/>
    <n v="145.5"/>
    <n v="156.19999999999999"/>
    <n v="131.5"/>
    <n v="111.7"/>
    <n v="142.69999999999999"/>
    <n v="138.5"/>
    <n v="156.9"/>
    <n v="144"/>
    <n v="165.1"/>
    <n v="151.80000000000001"/>
    <n v="146.6"/>
    <n v="151.1"/>
    <s v="NA"/>
    <n v="146.4"/>
    <n v="150.19999999999999"/>
    <n v="152.69999999999999"/>
    <n v="131.4"/>
    <n v="148"/>
    <n v="159.69999999999999"/>
    <n v="138.80000000000001"/>
    <n v="144.9"/>
    <n v="145.69999999999999"/>
    <x v="1"/>
  </r>
  <r>
    <x v="1"/>
    <x v="6"/>
    <x v="7"/>
    <x v="79"/>
    <n v="142.1"/>
    <n v="158.30000000000001"/>
    <n v="140.80000000000001"/>
    <n v="144.9"/>
    <n v="119.9"/>
    <n v="153.9"/>
    <n v="189.1"/>
    <n v="129.80000000000001"/>
    <n v="112.7"/>
    <n v="142.5"/>
    <n v="129.80000000000001"/>
    <n v="156.19999999999999"/>
    <n v="149.1"/>
    <n v="167.9"/>
    <n v="145"/>
    <n v="132.19999999999999"/>
    <n v="143"/>
    <n v="151.6"/>
    <n v="125.5"/>
    <n v="138.1"/>
    <n v="141.5"/>
    <n v="120.8"/>
    <n v="135.4"/>
    <n v="151.5"/>
    <n v="137.80000000000001"/>
    <n v="135.30000000000001"/>
    <n v="144.19999999999999"/>
    <x v="1"/>
  </r>
  <r>
    <x v="2"/>
    <x v="6"/>
    <x v="7"/>
    <x v="79"/>
    <n v="140.1"/>
    <n v="160.6"/>
    <n v="138.5"/>
    <n v="144.69999999999999"/>
    <n v="122.9"/>
    <n v="149.4"/>
    <n v="167.4"/>
    <n v="130.9"/>
    <n v="112"/>
    <n v="142.6"/>
    <n v="134.9"/>
    <n v="156.6"/>
    <n v="145.9"/>
    <n v="165.8"/>
    <n v="149.1"/>
    <n v="140.6"/>
    <n v="147.9"/>
    <n v="151.6"/>
    <n v="138.5"/>
    <n v="144.5"/>
    <n v="148.5"/>
    <n v="125.8"/>
    <n v="140.9"/>
    <n v="154.9"/>
    <n v="138.4"/>
    <n v="140.19999999999999"/>
    <n v="145"/>
    <x v="1"/>
  </r>
  <r>
    <x v="0"/>
    <x v="6"/>
    <x v="8"/>
    <x v="80"/>
    <n v="140.1"/>
    <n v="161.9"/>
    <n v="138.30000000000001"/>
    <n v="145.69999999999999"/>
    <n v="125.1"/>
    <n v="143.80000000000001"/>
    <n v="163.4"/>
    <n v="132.19999999999999"/>
    <n v="112.8"/>
    <n v="144.19999999999999"/>
    <n v="138.5"/>
    <n v="157.19999999999999"/>
    <n v="145.5"/>
    <n v="165.7"/>
    <n v="151.69999999999999"/>
    <n v="146.6"/>
    <n v="151"/>
    <s v="NA"/>
    <n v="146.9"/>
    <n v="150.30000000000001"/>
    <n v="153.4"/>
    <n v="131.6"/>
    <n v="148.30000000000001"/>
    <n v="160.19999999999999"/>
    <n v="140.19999999999999"/>
    <n v="145.4"/>
    <n v="146.69999999999999"/>
    <x v="1"/>
  </r>
  <r>
    <x v="1"/>
    <x v="6"/>
    <x v="8"/>
    <x v="80"/>
    <n v="142.69999999999999"/>
    <n v="158.69999999999999"/>
    <n v="141.6"/>
    <n v="144.9"/>
    <n v="120.8"/>
    <n v="149.80000000000001"/>
    <n v="192.4"/>
    <n v="130.30000000000001"/>
    <n v="114"/>
    <n v="143.80000000000001"/>
    <n v="130"/>
    <n v="156.4"/>
    <n v="149.5"/>
    <n v="168.6"/>
    <n v="145.30000000000001"/>
    <n v="132.19999999999999"/>
    <n v="143.30000000000001"/>
    <n v="152.19999999999999"/>
    <n v="126.6"/>
    <n v="138.30000000000001"/>
    <n v="141.9"/>
    <n v="121.2"/>
    <n v="135.9"/>
    <n v="151.6"/>
    <n v="139"/>
    <n v="135.69999999999999"/>
    <n v="144.69999999999999"/>
    <x v="1"/>
  </r>
  <r>
    <x v="2"/>
    <x v="6"/>
    <x v="8"/>
    <x v="80"/>
    <n v="140.9"/>
    <n v="160.80000000000001"/>
    <n v="139.6"/>
    <n v="145.4"/>
    <n v="123.5"/>
    <n v="146.6"/>
    <n v="173.2"/>
    <n v="131.6"/>
    <n v="113.2"/>
    <n v="144.1"/>
    <n v="135"/>
    <n v="156.80000000000001"/>
    <n v="147"/>
    <n v="166.5"/>
    <n v="149.19999999999999"/>
    <n v="140.6"/>
    <n v="147.9"/>
    <n v="152.19999999999999"/>
    <n v="139.19999999999999"/>
    <n v="144.6"/>
    <n v="149"/>
    <n v="126.1"/>
    <n v="141.30000000000001"/>
    <n v="155.19999999999999"/>
    <n v="139.69999999999999"/>
    <n v="140.69999999999999"/>
    <n v="145.80000000000001"/>
    <x v="1"/>
  </r>
  <r>
    <x v="0"/>
    <x v="6"/>
    <x v="9"/>
    <x v="81"/>
    <n v="141"/>
    <n v="161.6"/>
    <n v="141.19999999999999"/>
    <n v="146.5"/>
    <n v="125.6"/>
    <n v="145.69999999999999"/>
    <n v="178.8"/>
    <n v="133.1"/>
    <n v="113.6"/>
    <n v="145.5"/>
    <n v="138.6"/>
    <n v="157.4"/>
    <n v="148.30000000000001"/>
    <n v="166.3"/>
    <n v="151.69999999999999"/>
    <n v="146.69999999999999"/>
    <n v="151"/>
    <s v="NA"/>
    <n v="147.69999999999999"/>
    <n v="150.6"/>
    <n v="153.69999999999999"/>
    <n v="131.69999999999999"/>
    <n v="148.69999999999999"/>
    <n v="160.69999999999999"/>
    <n v="140.30000000000001"/>
    <n v="145.69999999999999"/>
    <n v="148.30000000000001"/>
    <x v="1"/>
  </r>
  <r>
    <x v="1"/>
    <x v="6"/>
    <x v="9"/>
    <x v="81"/>
    <n v="143.5"/>
    <n v="159.80000000000001"/>
    <n v="144.69999999999999"/>
    <n v="145.6"/>
    <n v="121.1"/>
    <n v="150.6"/>
    <n v="207.2"/>
    <n v="131.19999999999999"/>
    <n v="114.8"/>
    <n v="145.19999999999999"/>
    <n v="130.19999999999999"/>
    <n v="156.80000000000001"/>
    <n v="151.9"/>
    <n v="169.3"/>
    <n v="145.9"/>
    <n v="132.4"/>
    <n v="143.9"/>
    <n v="153"/>
    <n v="128.9"/>
    <n v="138.69999999999999"/>
    <n v="142.4"/>
    <n v="121.5"/>
    <n v="136.19999999999999"/>
    <n v="151.69999999999999"/>
    <n v="139.5"/>
    <n v="136"/>
    <n v="146"/>
    <x v="1"/>
  </r>
  <r>
    <x v="2"/>
    <x v="6"/>
    <x v="9"/>
    <x v="81"/>
    <n v="141.80000000000001"/>
    <n v="161"/>
    <n v="142.6"/>
    <n v="146.19999999999999"/>
    <n v="123.9"/>
    <n v="148"/>
    <n v="188.4"/>
    <n v="132.5"/>
    <n v="114"/>
    <n v="145.4"/>
    <n v="135.1"/>
    <n v="157.1"/>
    <n v="149.6"/>
    <n v="167.1"/>
    <n v="149.4"/>
    <n v="140.80000000000001"/>
    <n v="148.19999999999999"/>
    <n v="153"/>
    <n v="140.6"/>
    <n v="145"/>
    <n v="149.4"/>
    <n v="126.3"/>
    <n v="141.69999999999999"/>
    <n v="155.4"/>
    <n v="140"/>
    <n v="141"/>
    <n v="147.19999999999999"/>
    <x v="1"/>
  </r>
  <r>
    <x v="0"/>
    <x v="6"/>
    <x v="11"/>
    <x v="82"/>
    <n v="141.80000000000001"/>
    <n v="163.69999999999999"/>
    <n v="143.80000000000001"/>
    <n v="147.1"/>
    <n v="126"/>
    <n v="146.19999999999999"/>
    <n v="191.4"/>
    <n v="136.19999999999999"/>
    <n v="113.8"/>
    <n v="147.30000000000001"/>
    <n v="138.69999999999999"/>
    <n v="157.69999999999999"/>
    <n v="150.9"/>
    <n v="167.2"/>
    <n v="152.30000000000001"/>
    <n v="147"/>
    <n v="151.5"/>
    <s v="NA"/>
    <n v="148.4"/>
    <n v="150.9"/>
    <n v="154.30000000000001"/>
    <n v="132.1"/>
    <n v="149.1"/>
    <n v="160.80000000000001"/>
    <n v="140.6"/>
    <n v="146.1"/>
    <n v="149.9"/>
    <x v="1"/>
  </r>
  <r>
    <x v="1"/>
    <x v="6"/>
    <x v="11"/>
    <x v="82"/>
    <n v="144.1"/>
    <n v="162.4"/>
    <n v="148.4"/>
    <n v="145.9"/>
    <n v="121.5"/>
    <n v="148.80000000000001"/>
    <n v="215.7"/>
    <n v="134.6"/>
    <n v="115"/>
    <n v="146.30000000000001"/>
    <n v="130.5"/>
    <n v="157.19999999999999"/>
    <n v="153.6"/>
    <n v="169.9"/>
    <n v="146.30000000000001"/>
    <n v="132.6"/>
    <n v="144.19999999999999"/>
    <n v="153.5"/>
    <n v="132.19999999999999"/>
    <n v="139.1"/>
    <n v="142.80000000000001"/>
    <n v="121.7"/>
    <n v="136.69999999999999"/>
    <n v="151.80000000000001"/>
    <n v="139.80000000000001"/>
    <n v="136.30000000000001"/>
    <n v="147"/>
    <x v="1"/>
  </r>
  <r>
    <x v="2"/>
    <x v="6"/>
    <x v="11"/>
    <x v="82"/>
    <n v="142.5"/>
    <n v="163.19999999999999"/>
    <n v="145.6"/>
    <n v="146.69999999999999"/>
    <n v="124.3"/>
    <n v="147.4"/>
    <n v="199.6"/>
    <n v="135.69999999999999"/>
    <n v="114.2"/>
    <n v="147"/>
    <n v="135.30000000000001"/>
    <n v="157.5"/>
    <n v="151.9"/>
    <n v="167.9"/>
    <n v="149.9"/>
    <n v="141"/>
    <n v="148.6"/>
    <n v="153.5"/>
    <n v="142.30000000000001"/>
    <n v="145.30000000000001"/>
    <n v="149.9"/>
    <n v="126.6"/>
    <n v="142.1"/>
    <n v="155.5"/>
    <n v="140.30000000000001"/>
    <n v="141.30000000000001"/>
    <n v="148.6"/>
    <x v="1"/>
  </r>
  <r>
    <x v="0"/>
    <x v="6"/>
    <x v="12"/>
    <x v="83"/>
    <n v="142.80000000000001"/>
    <n v="165.3"/>
    <n v="149.5"/>
    <n v="148.69999999999999"/>
    <n v="127.5"/>
    <n v="144.30000000000001"/>
    <n v="209.5"/>
    <n v="138.80000000000001"/>
    <n v="113.6"/>
    <n v="149.1"/>
    <n v="139.30000000000001"/>
    <n v="158.30000000000001"/>
    <n v="154.30000000000001"/>
    <n v="167.8"/>
    <n v="152.6"/>
    <n v="147.30000000000001"/>
    <n v="151.9"/>
    <s v="NA"/>
    <n v="149.9"/>
    <n v="151.19999999999999"/>
    <n v="154.80000000000001"/>
    <n v="135"/>
    <n v="149.5"/>
    <n v="161.1"/>
    <n v="140.6"/>
    <n v="147.1"/>
    <n v="152.30000000000001"/>
    <x v="1"/>
  </r>
  <r>
    <x v="1"/>
    <x v="6"/>
    <x v="12"/>
    <x v="83"/>
    <n v="144.9"/>
    <n v="164.5"/>
    <n v="153.69999999999999"/>
    <n v="147.5"/>
    <n v="122.7"/>
    <n v="147.19999999999999"/>
    <n v="231.5"/>
    <n v="137.19999999999999"/>
    <n v="114.7"/>
    <n v="148"/>
    <n v="130.80000000000001"/>
    <n v="157.69999999999999"/>
    <n v="156.30000000000001"/>
    <n v="170.4"/>
    <n v="146.80000000000001"/>
    <n v="132.80000000000001"/>
    <n v="144.6"/>
    <n v="152.80000000000001"/>
    <n v="133.6"/>
    <n v="139.80000000000001"/>
    <n v="143.19999999999999"/>
    <n v="125.2"/>
    <n v="136.80000000000001"/>
    <n v="151.9"/>
    <n v="140.19999999999999"/>
    <n v="137.69999999999999"/>
    <n v="148.30000000000001"/>
    <x v="1"/>
  </r>
  <r>
    <x v="2"/>
    <x v="6"/>
    <x v="12"/>
    <x v="83"/>
    <n v="143.5"/>
    <n v="165"/>
    <n v="151.1"/>
    <n v="148.30000000000001"/>
    <n v="125.7"/>
    <n v="145.69999999999999"/>
    <n v="217"/>
    <n v="138.30000000000001"/>
    <n v="114"/>
    <n v="148.69999999999999"/>
    <n v="135.80000000000001"/>
    <n v="158"/>
    <n v="155"/>
    <n v="168.5"/>
    <n v="150.30000000000001"/>
    <n v="141.30000000000001"/>
    <n v="149"/>
    <n v="152.80000000000001"/>
    <n v="143.69999999999999"/>
    <n v="145.80000000000001"/>
    <n v="150.4"/>
    <n v="129.80000000000001"/>
    <n v="142.30000000000001"/>
    <n v="155.69999999999999"/>
    <n v="140.4"/>
    <n v="142.5"/>
    <n v="150.4"/>
    <x v="1"/>
  </r>
  <r>
    <x v="0"/>
    <x v="7"/>
    <x v="0"/>
    <x v="84"/>
    <n v="143.69999999999999"/>
    <n v="167.3"/>
    <n v="153.5"/>
    <n v="150.5"/>
    <n v="132"/>
    <n v="142.19999999999999"/>
    <n v="191.5"/>
    <n v="141.1"/>
    <n v="113.8"/>
    <n v="151.6"/>
    <n v="139.69999999999999"/>
    <n v="158.69999999999999"/>
    <n v="153"/>
    <n v="168.6"/>
    <n v="152.80000000000001"/>
    <n v="147.4"/>
    <n v="152.1"/>
    <s v="NA"/>
    <n v="150.4"/>
    <n v="151.69999999999999"/>
    <n v="155.69999999999999"/>
    <n v="136.30000000000001"/>
    <n v="150.1"/>
    <n v="161.69999999999999"/>
    <n v="142.5"/>
    <n v="148.1"/>
    <n v="151.9"/>
    <x v="1"/>
  </r>
  <r>
    <x v="1"/>
    <x v="7"/>
    <x v="0"/>
    <x v="84"/>
    <n v="145.6"/>
    <n v="167.6"/>
    <n v="157"/>
    <n v="149.30000000000001"/>
    <n v="126.3"/>
    <n v="144.4"/>
    <n v="207.8"/>
    <n v="139.1"/>
    <n v="114.8"/>
    <n v="149.5"/>
    <n v="131.1"/>
    <n v="158.5"/>
    <n v="154.4"/>
    <n v="170.8"/>
    <n v="147"/>
    <n v="133.19999999999999"/>
    <n v="144.9"/>
    <n v="153.9"/>
    <n v="135.1"/>
    <n v="140.1"/>
    <n v="143.80000000000001"/>
    <n v="126.1"/>
    <n v="137.19999999999999"/>
    <n v="152.1"/>
    <n v="142.1"/>
    <n v="138.4"/>
    <n v="148.19999999999999"/>
    <x v="1"/>
  </r>
  <r>
    <x v="2"/>
    <x v="7"/>
    <x v="0"/>
    <x v="84"/>
    <n v="144.30000000000001"/>
    <n v="167.4"/>
    <n v="154.9"/>
    <n v="150.1"/>
    <n v="129.9"/>
    <n v="143.19999999999999"/>
    <n v="197"/>
    <n v="140.4"/>
    <n v="114.1"/>
    <n v="150.9"/>
    <n v="136.1"/>
    <n v="158.6"/>
    <n v="153.5"/>
    <n v="169.2"/>
    <n v="150.5"/>
    <n v="141.5"/>
    <n v="149.19999999999999"/>
    <n v="153.9"/>
    <n v="144.6"/>
    <n v="146.19999999999999"/>
    <n v="151.19999999999999"/>
    <n v="130.9"/>
    <n v="142.80000000000001"/>
    <n v="156.1"/>
    <n v="142.30000000000001"/>
    <n v="143.4"/>
    <n v="150.19999999999999"/>
    <x v="1"/>
  </r>
  <r>
    <x v="0"/>
    <x v="7"/>
    <x v="1"/>
    <x v="85"/>
    <n v="144.19999999999999"/>
    <n v="167.5"/>
    <n v="150.9"/>
    <n v="150.9"/>
    <n v="133.69999999999999"/>
    <n v="140.69999999999999"/>
    <n v="165.1"/>
    <n v="141.80000000000001"/>
    <n v="113.1"/>
    <n v="152.80000000000001"/>
    <n v="140.1"/>
    <n v="159.19999999999999"/>
    <n v="149.80000000000001"/>
    <n v="169.4"/>
    <n v="153"/>
    <n v="147.5"/>
    <n v="152.30000000000001"/>
    <s v="NA"/>
    <n v="152.30000000000001"/>
    <n v="151.80000000000001"/>
    <n v="156.19999999999999"/>
    <n v="136"/>
    <n v="150.4"/>
    <n v="161.9"/>
    <n v="143.4"/>
    <n v="148.4"/>
    <n v="150.4"/>
    <x v="1"/>
  </r>
  <r>
    <x v="1"/>
    <x v="7"/>
    <x v="1"/>
    <x v="85"/>
    <n v="146.19999999999999"/>
    <n v="167.6"/>
    <n v="153.1"/>
    <n v="150.69999999999999"/>
    <n v="127.4"/>
    <n v="143.1"/>
    <n v="181.7"/>
    <n v="139.6"/>
    <n v="114.6"/>
    <n v="150.4"/>
    <n v="131.5"/>
    <n v="159"/>
    <n v="151.69999999999999"/>
    <n v="172"/>
    <n v="147.30000000000001"/>
    <n v="133.5"/>
    <n v="145.19999999999999"/>
    <n v="154.80000000000001"/>
    <n v="138.9"/>
    <n v="140.4"/>
    <n v="144.4"/>
    <n v="125.2"/>
    <n v="137.69999999999999"/>
    <n v="152.19999999999999"/>
    <n v="143.5"/>
    <n v="138.4"/>
    <n v="147.69999999999999"/>
    <x v="1"/>
  </r>
  <r>
    <x v="2"/>
    <x v="7"/>
    <x v="1"/>
    <x v="85"/>
    <n v="144.80000000000001"/>
    <n v="167.5"/>
    <n v="151.80000000000001"/>
    <n v="150.80000000000001"/>
    <n v="131.4"/>
    <n v="141.80000000000001"/>
    <n v="170.7"/>
    <n v="141.1"/>
    <n v="113.6"/>
    <n v="152"/>
    <n v="136.5"/>
    <n v="159.1"/>
    <n v="150.5"/>
    <n v="170.1"/>
    <n v="150.80000000000001"/>
    <n v="141.69999999999999"/>
    <n v="149.5"/>
    <n v="154.80000000000001"/>
    <n v="147.19999999999999"/>
    <n v="146.4"/>
    <n v="151.69999999999999"/>
    <n v="130.30000000000001"/>
    <n v="143.19999999999999"/>
    <n v="156.19999999999999"/>
    <n v="143.4"/>
    <n v="143.6"/>
    <n v="149.1"/>
    <x v="1"/>
  </r>
  <r>
    <x v="0"/>
    <x v="7"/>
    <x v="2"/>
    <x v="86"/>
    <n v="144.4"/>
    <n v="166.8"/>
    <n v="147.6"/>
    <n v="151.69999999999999"/>
    <n v="133.30000000000001"/>
    <n v="141.80000000000001"/>
    <n v="152.30000000000001"/>
    <n v="141.80000000000001"/>
    <n v="112.6"/>
    <n v="154"/>
    <n v="140.1"/>
    <n v="160"/>
    <n v="148.19999999999999"/>
    <n v="170.5"/>
    <n v="153.4"/>
    <n v="147.6"/>
    <n v="152.5"/>
    <s v="NA"/>
    <n v="153.4"/>
    <n v="151.5"/>
    <n v="156.69999999999999"/>
    <n v="135.80000000000001"/>
    <n v="151.19999999999999"/>
    <n v="161.19999999999999"/>
    <n v="145.1"/>
    <n v="148.6"/>
    <n v="149.80000000000001"/>
    <x v="2"/>
  </r>
  <r>
    <x v="1"/>
    <x v="7"/>
    <x v="2"/>
    <x v="86"/>
    <n v="146.5"/>
    <n v="167.5"/>
    <n v="148.9"/>
    <n v="151.1"/>
    <n v="127.5"/>
    <n v="143.30000000000001"/>
    <n v="167"/>
    <n v="139.69999999999999"/>
    <n v="114.4"/>
    <n v="151.5"/>
    <n v="131.9"/>
    <n v="159.1"/>
    <n v="150.1"/>
    <n v="173.3"/>
    <n v="147.69999999999999"/>
    <n v="133.80000000000001"/>
    <n v="145.6"/>
    <n v="154.5"/>
    <n v="141.4"/>
    <n v="140.80000000000001"/>
    <n v="145"/>
    <n v="124.6"/>
    <n v="137.9"/>
    <n v="152.5"/>
    <n v="145.30000000000001"/>
    <n v="138.69999999999999"/>
    <n v="147.30000000000001"/>
    <x v="2"/>
  </r>
  <r>
    <x v="2"/>
    <x v="7"/>
    <x v="2"/>
    <x v="86"/>
    <n v="145.1"/>
    <n v="167"/>
    <n v="148.1"/>
    <n v="151.5"/>
    <n v="131.19999999999999"/>
    <n v="142.5"/>
    <n v="157.30000000000001"/>
    <n v="141.1"/>
    <n v="113.2"/>
    <n v="153.19999999999999"/>
    <n v="136.69999999999999"/>
    <n v="159.6"/>
    <n v="148.9"/>
    <n v="171.2"/>
    <n v="151.19999999999999"/>
    <n v="141.9"/>
    <n v="149.80000000000001"/>
    <n v="154.5"/>
    <n v="148.9"/>
    <n v="146.4"/>
    <n v="152.30000000000001"/>
    <n v="129.9"/>
    <n v="143.69999999999999"/>
    <n v="156.1"/>
    <n v="145.19999999999999"/>
    <n v="143.80000000000001"/>
    <n v="148.6"/>
    <x v="2"/>
  </r>
  <r>
    <x v="0"/>
    <x v="7"/>
    <x v="3"/>
    <x v="87"/>
    <n v="147.19999999999999"/>
    <s v="NA"/>
    <n v="146.9"/>
    <n v="155.6"/>
    <n v="137.1"/>
    <n v="147.30000000000001"/>
    <n v="162.69999999999999"/>
    <n v="150.19999999999999"/>
    <n v="119.8"/>
    <n v="158.69999999999999"/>
    <n v="139.19999999999999"/>
    <s v="NA"/>
    <n v="150.1"/>
    <s v="NA"/>
    <s v="NA"/>
    <s v="NA"/>
    <s v="NA"/>
    <s v="NA"/>
    <n v="148.4"/>
    <s v="NA"/>
    <n v="154.30000000000001"/>
    <s v="NA"/>
    <s v="NA"/>
    <s v="NA"/>
    <s v="NA"/>
    <s v="NA"/>
    <s v="NA"/>
    <x v="2"/>
  </r>
  <r>
    <x v="1"/>
    <x v="7"/>
    <x v="3"/>
    <x v="87"/>
    <n v="151.80000000000001"/>
    <s v="NA"/>
    <n v="151.9"/>
    <n v="155.5"/>
    <n v="131.6"/>
    <n v="152.9"/>
    <n v="180"/>
    <n v="150.80000000000001"/>
    <n v="121.2"/>
    <n v="154"/>
    <n v="133.5"/>
    <s v="NA"/>
    <n v="153.5"/>
    <s v="NA"/>
    <s v="NA"/>
    <s v="NA"/>
    <s v="NA"/>
    <n v="155.6"/>
    <n v="137.1"/>
    <s v="NA"/>
    <n v="144.80000000000001"/>
    <s v="NA"/>
    <s v="NA"/>
    <s v="NA"/>
    <s v="NA"/>
    <s v="NA"/>
    <s v="NA"/>
    <x v="2"/>
  </r>
  <r>
    <x v="2"/>
    <x v="7"/>
    <x v="3"/>
    <x v="87"/>
    <n v="148.69999999999999"/>
    <s v="NA"/>
    <n v="148.80000000000001"/>
    <n v="155.6"/>
    <n v="135.1"/>
    <n v="149.9"/>
    <n v="168.6"/>
    <n v="150.4"/>
    <n v="120.3"/>
    <n v="157.1"/>
    <n v="136.80000000000001"/>
    <s v="NA"/>
    <n v="151.4"/>
    <s v="NA"/>
    <s v="NA"/>
    <s v="NA"/>
    <s v="NA"/>
    <n v="155.6"/>
    <n v="144.1"/>
    <s v="NA"/>
    <n v="150.69999999999999"/>
    <s v="NA"/>
    <s v="NA"/>
    <s v="NA"/>
    <s v="NA"/>
    <s v="NA"/>
    <s v="NA"/>
    <x v="2"/>
  </r>
  <r>
    <x v="0"/>
    <x v="7"/>
    <x v="4"/>
    <x v="88"/>
    <s v="NA"/>
    <s v="NA"/>
    <s v="NA"/>
    <s v="NA"/>
    <s v="NA"/>
    <s v="NA"/>
    <s v="NA"/>
    <s v="NA"/>
    <s v="NA"/>
    <s v="NA"/>
    <s v="NA"/>
    <s v="NA"/>
    <s v="NA"/>
    <s v="NA"/>
    <s v="NA"/>
    <s v="NA"/>
    <s v="NA"/>
    <s v="NA"/>
    <s v="NA"/>
    <s v="NA"/>
    <s v="NA"/>
    <s v="NA"/>
    <s v="NA"/>
    <s v="NA"/>
    <s v="NA"/>
    <s v="NA"/>
    <s v="NA"/>
    <x v="2"/>
  </r>
  <r>
    <x v="1"/>
    <x v="7"/>
    <x v="4"/>
    <x v="88"/>
    <s v="NA"/>
    <s v="NA"/>
    <s v="NA"/>
    <s v="NA"/>
    <s v="NA"/>
    <s v="NA"/>
    <s v="NA"/>
    <s v="NA"/>
    <s v="NA"/>
    <s v="NA"/>
    <s v="NA"/>
    <s v="NA"/>
    <s v="NA"/>
    <s v="NA"/>
    <s v="NA"/>
    <s v="NA"/>
    <s v="NA"/>
    <s v="NA"/>
    <s v="NA"/>
    <s v="NA"/>
    <s v="NA"/>
    <s v="NA"/>
    <s v="NA"/>
    <s v="NA"/>
    <s v="NA"/>
    <s v="NA"/>
    <s v="NA"/>
    <x v="2"/>
  </r>
  <r>
    <x v="2"/>
    <x v="7"/>
    <x v="4"/>
    <x v="88"/>
    <s v="NA"/>
    <s v="NA"/>
    <s v="NA"/>
    <s v="NA"/>
    <s v="NA"/>
    <s v="NA"/>
    <s v="NA"/>
    <s v="NA"/>
    <s v="NA"/>
    <s v="NA"/>
    <s v="NA"/>
    <s v="NA"/>
    <s v="NA"/>
    <s v="NA"/>
    <s v="NA"/>
    <s v="NA"/>
    <s v="NA"/>
    <s v="NA"/>
    <s v="NA"/>
    <s v="NA"/>
    <s v="NA"/>
    <s v="NA"/>
    <s v="NA"/>
    <s v="NA"/>
    <s v="NA"/>
    <s v="NA"/>
    <s v="NA"/>
    <x v="2"/>
  </r>
  <r>
    <x v="0"/>
    <x v="7"/>
    <x v="5"/>
    <x v="89"/>
    <n v="148.19999999999999"/>
    <n v="190.3"/>
    <n v="149.4"/>
    <n v="153.30000000000001"/>
    <n v="138.19999999999999"/>
    <n v="143.19999999999999"/>
    <n v="148.9"/>
    <n v="150.30000000000001"/>
    <n v="113.2"/>
    <n v="159.80000000000001"/>
    <n v="142.1"/>
    <n v="161.80000000000001"/>
    <n v="152.30000000000001"/>
    <n v="182.4"/>
    <n v="154.69999999999999"/>
    <n v="150"/>
    <n v="154.1"/>
    <s v="NA"/>
    <n v="144.9"/>
    <n v="151.69999999999999"/>
    <n v="158.19999999999999"/>
    <n v="141.4"/>
    <n v="153.19999999999999"/>
    <n v="161.80000000000001"/>
    <n v="151.19999999999999"/>
    <n v="151.69999999999999"/>
    <n v="152.69999999999999"/>
    <x v="2"/>
  </r>
  <r>
    <x v="1"/>
    <x v="7"/>
    <x v="5"/>
    <x v="89"/>
    <n v="152.69999999999999"/>
    <n v="197"/>
    <n v="154.6"/>
    <n v="153.4"/>
    <n v="132.9"/>
    <n v="151.80000000000001"/>
    <n v="171.2"/>
    <n v="152"/>
    <n v="116.3"/>
    <n v="158.80000000000001"/>
    <n v="135.6"/>
    <n v="161.69999999999999"/>
    <n v="157"/>
    <n v="186.7"/>
    <n v="149.1"/>
    <n v="136.6"/>
    <n v="147.19999999999999"/>
    <n v="154.69999999999999"/>
    <n v="137.1"/>
    <n v="140.4"/>
    <n v="148.1"/>
    <n v="129.30000000000001"/>
    <n v="144.5"/>
    <n v="152.5"/>
    <n v="152.19999999999999"/>
    <n v="142"/>
    <n v="150.80000000000001"/>
    <x v="2"/>
  </r>
  <r>
    <x v="2"/>
    <x v="7"/>
    <x v="5"/>
    <x v="89"/>
    <n v="149.6"/>
    <n v="192.7"/>
    <n v="151.4"/>
    <n v="153.30000000000001"/>
    <n v="136.30000000000001"/>
    <n v="147.19999999999999"/>
    <n v="156.5"/>
    <n v="150.9"/>
    <n v="114.2"/>
    <n v="159.5"/>
    <n v="139.4"/>
    <n v="161.80000000000001"/>
    <n v="154"/>
    <n v="183.5"/>
    <n v="152.5"/>
    <n v="144.4"/>
    <n v="151.4"/>
    <n v="154.69999999999999"/>
    <n v="141.9"/>
    <n v="146.4"/>
    <n v="154.4"/>
    <n v="135"/>
    <n v="148.30000000000001"/>
    <n v="156.4"/>
    <n v="151.6"/>
    <n v="147"/>
    <n v="151.80000000000001"/>
    <x v="2"/>
  </r>
  <r>
    <x v="0"/>
    <x v="7"/>
    <x v="6"/>
    <x v="90"/>
    <n v="148.19999999999999"/>
    <n v="190.3"/>
    <n v="149.4"/>
    <n v="153.30000000000001"/>
    <n v="138.19999999999999"/>
    <n v="143.19999999999999"/>
    <n v="148.9"/>
    <n v="150.30000000000001"/>
    <n v="113.2"/>
    <n v="159.80000000000001"/>
    <n v="142.1"/>
    <n v="161.80000000000001"/>
    <n v="152.30000000000001"/>
    <n v="182.4"/>
    <n v="154.69999999999999"/>
    <n v="150"/>
    <n v="154.1"/>
    <s v="NA"/>
    <n v="144.9"/>
    <n v="151.69999999999999"/>
    <n v="158.19999999999999"/>
    <n v="141.4"/>
    <n v="153.19999999999999"/>
    <n v="161.80000000000001"/>
    <n v="151.19999999999999"/>
    <n v="151.69999999999999"/>
    <n v="152.69999999999999"/>
    <x v="2"/>
  </r>
  <r>
    <x v="1"/>
    <x v="7"/>
    <x v="6"/>
    <x v="90"/>
    <n v="152.69999999999999"/>
    <n v="197"/>
    <n v="154.6"/>
    <n v="153.4"/>
    <n v="132.9"/>
    <n v="151.80000000000001"/>
    <n v="171.2"/>
    <n v="152"/>
    <n v="116.3"/>
    <n v="158.80000000000001"/>
    <n v="135.6"/>
    <n v="161.69999999999999"/>
    <n v="157"/>
    <n v="186.7"/>
    <n v="149.1"/>
    <n v="136.6"/>
    <n v="147.19999999999999"/>
    <n v="154.69999999999999"/>
    <n v="137.1"/>
    <n v="140.4"/>
    <n v="148.1"/>
    <n v="129.30000000000001"/>
    <n v="144.5"/>
    <n v="152.5"/>
    <n v="152.19999999999999"/>
    <n v="142"/>
    <n v="150.80000000000001"/>
    <x v="2"/>
  </r>
  <r>
    <x v="2"/>
    <x v="7"/>
    <x v="6"/>
    <x v="90"/>
    <n v="149.6"/>
    <n v="192.7"/>
    <n v="151.4"/>
    <n v="153.30000000000001"/>
    <n v="136.30000000000001"/>
    <n v="147.19999999999999"/>
    <n v="156.5"/>
    <n v="150.9"/>
    <n v="114.2"/>
    <n v="159.5"/>
    <n v="139.4"/>
    <n v="161.80000000000001"/>
    <n v="154"/>
    <n v="183.5"/>
    <n v="152.5"/>
    <n v="144.4"/>
    <n v="151.4"/>
    <n v="154.69999999999999"/>
    <n v="141.9"/>
    <n v="146.4"/>
    <n v="154.4"/>
    <n v="135"/>
    <n v="148.30000000000001"/>
    <n v="156.4"/>
    <n v="151.6"/>
    <n v="147"/>
    <n v="151.80000000000001"/>
    <x v="2"/>
  </r>
  <r>
    <x v="0"/>
    <x v="7"/>
    <x v="7"/>
    <x v="91"/>
    <n v="147.6"/>
    <n v="187.2"/>
    <n v="148.4"/>
    <n v="153.30000000000001"/>
    <n v="139.80000000000001"/>
    <n v="146.9"/>
    <n v="171"/>
    <n v="149.9"/>
    <n v="114.2"/>
    <n v="160"/>
    <n v="143.5"/>
    <n v="161.5"/>
    <n v="155.30000000000001"/>
    <n v="180.9"/>
    <n v="155.1"/>
    <n v="149.30000000000001"/>
    <n v="154.30000000000001"/>
    <s v="NA"/>
    <n v="145.80000000000001"/>
    <n v="151.9"/>
    <n v="158.80000000000001"/>
    <n v="143.6"/>
    <n v="152.19999999999999"/>
    <n v="162.69999999999999"/>
    <n v="153.6"/>
    <n v="153"/>
    <n v="154.69999999999999"/>
    <x v="2"/>
  </r>
  <r>
    <x v="1"/>
    <x v="7"/>
    <x v="7"/>
    <x v="91"/>
    <n v="151.6"/>
    <n v="197.8"/>
    <n v="154.5"/>
    <n v="153.4"/>
    <n v="133.4"/>
    <n v="154.5"/>
    <n v="191.9"/>
    <n v="151.30000000000001"/>
    <n v="116.8"/>
    <n v="160"/>
    <n v="136.5"/>
    <n v="163.30000000000001"/>
    <n v="159.9"/>
    <n v="187.2"/>
    <n v="150"/>
    <n v="135.19999999999999"/>
    <n v="147.80000000000001"/>
    <n v="155.5"/>
    <n v="138.30000000000001"/>
    <n v="144.5"/>
    <n v="148.69999999999999"/>
    <n v="133.9"/>
    <n v="141.19999999999999"/>
    <n v="155.5"/>
    <n v="155.19999999999999"/>
    <n v="144.80000000000001"/>
    <n v="152.9"/>
    <x v="2"/>
  </r>
  <r>
    <x v="2"/>
    <x v="7"/>
    <x v="7"/>
    <x v="91"/>
    <n v="148.9"/>
    <n v="190.9"/>
    <n v="150.80000000000001"/>
    <n v="153.30000000000001"/>
    <n v="137.4"/>
    <n v="150.4"/>
    <n v="178.1"/>
    <n v="150.4"/>
    <n v="115.1"/>
    <n v="160"/>
    <n v="140.6"/>
    <n v="162.30000000000001"/>
    <n v="157"/>
    <n v="182.6"/>
    <n v="153.1"/>
    <n v="143.4"/>
    <n v="151.69999999999999"/>
    <n v="155.5"/>
    <n v="143"/>
    <n v="148.4"/>
    <n v="155"/>
    <n v="138.5"/>
    <n v="146"/>
    <n v="158.5"/>
    <n v="154.30000000000001"/>
    <n v="149"/>
    <n v="153.9"/>
    <x v="2"/>
  </r>
  <r>
    <x v="0"/>
    <x v="7"/>
    <x v="8"/>
    <x v="92"/>
    <n v="146.9"/>
    <n v="183.9"/>
    <n v="149.5"/>
    <n v="153.4"/>
    <n v="140.4"/>
    <n v="147"/>
    <n v="178.8"/>
    <n v="149.30000000000001"/>
    <n v="115.1"/>
    <n v="160"/>
    <n v="145.4"/>
    <n v="161.6"/>
    <n v="156.1"/>
    <n v="182.9"/>
    <n v="155.4"/>
    <n v="149.9"/>
    <n v="154.6"/>
    <s v="NA"/>
    <n v="146.4"/>
    <n v="151.6"/>
    <n v="159.1"/>
    <n v="144.6"/>
    <n v="152.80000000000001"/>
    <n v="161.1"/>
    <n v="157.4"/>
    <n v="153.69999999999999"/>
    <n v="155.4"/>
    <x v="2"/>
  </r>
  <r>
    <x v="1"/>
    <x v="7"/>
    <x v="8"/>
    <x v="92"/>
    <n v="151.5"/>
    <n v="193.1"/>
    <n v="157.30000000000001"/>
    <n v="153.9"/>
    <n v="134.4"/>
    <n v="155.4"/>
    <n v="202"/>
    <n v="150.80000000000001"/>
    <n v="118.9"/>
    <n v="160.9"/>
    <n v="137.69999999999999"/>
    <n v="164.4"/>
    <n v="161.30000000000001"/>
    <n v="188.7"/>
    <n v="150.19999999999999"/>
    <n v="136.30000000000001"/>
    <n v="148.1"/>
    <n v="156.30000000000001"/>
    <n v="137.19999999999999"/>
    <n v="145.4"/>
    <n v="150"/>
    <n v="135.1"/>
    <n v="141.80000000000001"/>
    <n v="154.9"/>
    <n v="159.80000000000001"/>
    <n v="146"/>
    <n v="154"/>
    <x v="2"/>
  </r>
  <r>
    <x v="2"/>
    <x v="7"/>
    <x v="8"/>
    <x v="92"/>
    <n v="148.4"/>
    <n v="187.1"/>
    <n v="152.5"/>
    <n v="153.6"/>
    <n v="138.19999999999999"/>
    <n v="150.9"/>
    <n v="186.7"/>
    <n v="149.80000000000001"/>
    <n v="116.4"/>
    <n v="160.30000000000001"/>
    <n v="142.19999999999999"/>
    <n v="162.9"/>
    <n v="158"/>
    <n v="184.4"/>
    <n v="153.4"/>
    <n v="144.30000000000001"/>
    <n v="152"/>
    <n v="156.30000000000001"/>
    <n v="142.9"/>
    <n v="148.69999999999999"/>
    <n v="155.6"/>
    <n v="139.6"/>
    <n v="146.6"/>
    <n v="157.5"/>
    <n v="158.4"/>
    <n v="150"/>
    <n v="154.69999999999999"/>
    <x v="2"/>
  </r>
  <r>
    <x v="0"/>
    <x v="7"/>
    <x v="9"/>
    <x v="93"/>
    <n v="146"/>
    <n v="186.3"/>
    <n v="159.19999999999999"/>
    <n v="153.6"/>
    <n v="142.6"/>
    <n v="147.19999999999999"/>
    <n v="200.6"/>
    <n v="150.30000000000001"/>
    <n v="115.3"/>
    <n v="160.9"/>
    <n v="147.4"/>
    <n v="161.9"/>
    <n v="159.6"/>
    <n v="182.7"/>
    <n v="155.69999999999999"/>
    <n v="150.6"/>
    <n v="155"/>
    <s v="NA"/>
    <n v="146.80000000000001"/>
    <n v="152"/>
    <n v="159.5"/>
    <n v="146.4"/>
    <n v="152.4"/>
    <n v="162.5"/>
    <n v="156.19999999999999"/>
    <n v="154.30000000000001"/>
    <n v="157.5"/>
    <x v="2"/>
  </r>
  <r>
    <x v="1"/>
    <x v="7"/>
    <x v="9"/>
    <x v="93"/>
    <n v="150.6"/>
    <n v="193.7"/>
    <n v="164.8"/>
    <n v="153.69999999999999"/>
    <n v="135.69999999999999"/>
    <n v="155.69999999999999"/>
    <n v="226"/>
    <n v="152.19999999999999"/>
    <n v="118.1"/>
    <n v="161.30000000000001"/>
    <n v="139.19999999999999"/>
    <n v="164.8"/>
    <n v="164.4"/>
    <n v="188.7"/>
    <n v="150.5"/>
    <n v="136.1"/>
    <n v="148.30000000000001"/>
    <n v="156.5"/>
    <n v="137.1"/>
    <n v="145.1"/>
    <n v="151"/>
    <n v="135.4"/>
    <n v="142"/>
    <n v="155.69999999999999"/>
    <n v="158.1"/>
    <n v="146.19999999999999"/>
    <n v="155.19999999999999"/>
    <x v="2"/>
  </r>
  <r>
    <x v="2"/>
    <x v="7"/>
    <x v="9"/>
    <x v="93"/>
    <n v="147.5"/>
    <n v="188.9"/>
    <n v="161.4"/>
    <n v="153.6"/>
    <n v="140.1"/>
    <n v="151.19999999999999"/>
    <n v="209.2"/>
    <n v="150.9"/>
    <n v="116.2"/>
    <n v="161"/>
    <n v="144"/>
    <n v="163.19999999999999"/>
    <n v="161.4"/>
    <n v="184.3"/>
    <n v="153.69999999999999"/>
    <n v="144.6"/>
    <n v="152.30000000000001"/>
    <n v="156.5"/>
    <n v="143.1"/>
    <n v="148.69999999999999"/>
    <n v="156.30000000000001"/>
    <n v="140.6"/>
    <n v="146.5"/>
    <n v="158.5"/>
    <n v="157"/>
    <n v="150.4"/>
    <n v="156.4"/>
    <x v="2"/>
  </r>
  <r>
    <x v="0"/>
    <x v="7"/>
    <x v="11"/>
    <x v="94"/>
    <n v="145.4"/>
    <n v="188.6"/>
    <n v="171.6"/>
    <n v="153.80000000000001"/>
    <n v="145.4"/>
    <n v="146.5"/>
    <n v="222.2"/>
    <n v="155.9"/>
    <n v="114.9"/>
    <n v="162"/>
    <n v="150"/>
    <n v="162.69999999999999"/>
    <n v="163.4"/>
    <n v="183.4"/>
    <n v="156.30000000000001"/>
    <n v="151"/>
    <n v="155.5"/>
    <s v="NA"/>
    <n v="147.5"/>
    <n v="152.80000000000001"/>
    <n v="160.4"/>
    <n v="146.1"/>
    <n v="153.6"/>
    <n v="161.6"/>
    <n v="156.19999999999999"/>
    <n v="154.5"/>
    <n v="159.80000000000001"/>
    <x v="2"/>
  </r>
  <r>
    <x v="1"/>
    <x v="7"/>
    <x v="11"/>
    <x v="94"/>
    <n v="149.69999999999999"/>
    <n v="195.5"/>
    <n v="176.9"/>
    <n v="153.9"/>
    <n v="138"/>
    <n v="150.5"/>
    <n v="245.3"/>
    <n v="158.69999999999999"/>
    <n v="117.2"/>
    <n v="161.4"/>
    <n v="141.5"/>
    <n v="165.1"/>
    <n v="167"/>
    <n v="188.8"/>
    <n v="151.1"/>
    <n v="136.4"/>
    <n v="148.80000000000001"/>
    <n v="158"/>
    <n v="137.30000000000001"/>
    <n v="145.1"/>
    <n v="152"/>
    <n v="135.19999999999999"/>
    <n v="144.4"/>
    <n v="156.4"/>
    <n v="157.9"/>
    <n v="146.6"/>
    <n v="156.69999999999999"/>
    <x v="2"/>
  </r>
  <r>
    <x v="2"/>
    <x v="7"/>
    <x v="11"/>
    <x v="94"/>
    <n v="146.80000000000001"/>
    <n v="191"/>
    <n v="173.6"/>
    <n v="153.80000000000001"/>
    <n v="142.69999999999999"/>
    <n v="148.4"/>
    <n v="230"/>
    <n v="156.80000000000001"/>
    <n v="115.7"/>
    <n v="161.80000000000001"/>
    <n v="146.5"/>
    <n v="163.80000000000001"/>
    <n v="164.7"/>
    <n v="184.8"/>
    <n v="154.30000000000001"/>
    <n v="144.9"/>
    <n v="152.80000000000001"/>
    <n v="158"/>
    <n v="143.6"/>
    <n v="149.19999999999999"/>
    <n v="157.19999999999999"/>
    <n v="140.4"/>
    <n v="148.4"/>
    <n v="158.6"/>
    <n v="156.9"/>
    <n v="150.69999999999999"/>
    <n v="158.4"/>
    <x v="2"/>
  </r>
  <r>
    <x v="0"/>
    <x v="7"/>
    <x v="12"/>
    <x v="95"/>
    <n v="144.6"/>
    <n v="188.5"/>
    <n v="173.4"/>
    <n v="154"/>
    <n v="150"/>
    <n v="145.9"/>
    <n v="225.2"/>
    <n v="159.5"/>
    <n v="114.4"/>
    <n v="163.5"/>
    <n v="153.4"/>
    <n v="163.6"/>
    <n v="164.5"/>
    <n v="183.6"/>
    <n v="157"/>
    <n v="151.6"/>
    <n v="156.30000000000001"/>
    <s v="NA"/>
    <n v="148.69999999999999"/>
    <n v="153.4"/>
    <n v="161.6"/>
    <n v="146.4"/>
    <n v="153.9"/>
    <n v="162.9"/>
    <n v="156.6"/>
    <n v="155.19999999999999"/>
    <n v="160.69999999999999"/>
    <x v="2"/>
  </r>
  <r>
    <x v="1"/>
    <x v="7"/>
    <x v="12"/>
    <x v="95"/>
    <n v="149"/>
    <n v="195.7"/>
    <n v="178.3"/>
    <n v="154.19999999999999"/>
    <n v="140.69999999999999"/>
    <n v="149.69999999999999"/>
    <n v="240.9"/>
    <n v="161.5"/>
    <n v="117.1"/>
    <n v="161.9"/>
    <n v="143.30000000000001"/>
    <n v="166.1"/>
    <n v="167"/>
    <n v="190.2"/>
    <n v="151.9"/>
    <n v="136.69999999999999"/>
    <n v="149.6"/>
    <n v="158.4"/>
    <n v="137.9"/>
    <n v="145.5"/>
    <n v="152.9"/>
    <n v="135.5"/>
    <n v="144.30000000000001"/>
    <n v="156.9"/>
    <n v="157.9"/>
    <n v="146.9"/>
    <n v="156.9"/>
    <x v="2"/>
  </r>
  <r>
    <x v="2"/>
    <x v="7"/>
    <x v="12"/>
    <x v="95"/>
    <n v="146"/>
    <n v="191"/>
    <n v="175.3"/>
    <n v="154.1"/>
    <n v="146.6"/>
    <n v="147.69999999999999"/>
    <n v="230.5"/>
    <n v="160.19999999999999"/>
    <n v="115.3"/>
    <n v="163"/>
    <n v="149.19999999999999"/>
    <n v="164.8"/>
    <n v="165.4"/>
    <n v="185.4"/>
    <n v="155"/>
    <n v="145.4"/>
    <n v="153.6"/>
    <n v="158.4"/>
    <n v="144.6"/>
    <n v="149.69999999999999"/>
    <n v="158.30000000000001"/>
    <n v="140.69999999999999"/>
    <n v="148.5"/>
    <n v="159.4"/>
    <n v="157.1"/>
    <n v="151.19999999999999"/>
    <n v="158.9"/>
    <x v="2"/>
  </r>
  <r>
    <x v="0"/>
    <x v="8"/>
    <x v="0"/>
    <x v="96"/>
    <n v="143.4"/>
    <n v="187.5"/>
    <n v="173.4"/>
    <n v="154"/>
    <n v="154.80000000000001"/>
    <n v="147"/>
    <n v="187.8"/>
    <n v="159.5"/>
    <n v="113.8"/>
    <n v="164.5"/>
    <n v="156.1"/>
    <n v="164.3"/>
    <n v="159.6"/>
    <n v="184.6"/>
    <n v="157.5"/>
    <n v="152.4"/>
    <n v="156.80000000000001"/>
    <s v="NA"/>
    <n v="150.9"/>
    <n v="153.9"/>
    <n v="162.5"/>
    <n v="147.5"/>
    <n v="155.1"/>
    <n v="163.5"/>
    <n v="156.19999999999999"/>
    <n v="155.9"/>
    <n v="158.5"/>
    <x v="2"/>
  </r>
  <r>
    <x v="1"/>
    <x v="8"/>
    <x v="0"/>
    <x v="96"/>
    <n v="148"/>
    <n v="194.8"/>
    <n v="178.4"/>
    <n v="154.4"/>
    <n v="144.1"/>
    <n v="152.6"/>
    <n v="206.8"/>
    <n v="162.1"/>
    <n v="116.3"/>
    <n v="163"/>
    <n v="145.9"/>
    <n v="167.2"/>
    <n v="163.4"/>
    <n v="191.8"/>
    <n v="152.5"/>
    <n v="137.30000000000001"/>
    <n v="150.19999999999999"/>
    <n v="157.69999999999999"/>
    <n v="142.9"/>
    <n v="145.69999999999999"/>
    <n v="154.1"/>
    <n v="136.9"/>
    <n v="145.4"/>
    <n v="156.1"/>
    <n v="157.69999999999999"/>
    <n v="147.6"/>
    <n v="156"/>
    <x v="2"/>
  </r>
  <r>
    <x v="2"/>
    <x v="8"/>
    <x v="0"/>
    <x v="96"/>
    <n v="144.9"/>
    <n v="190.1"/>
    <n v="175.3"/>
    <n v="154.1"/>
    <n v="150.9"/>
    <n v="149.6"/>
    <n v="194.2"/>
    <n v="160.4"/>
    <n v="114.6"/>
    <n v="164"/>
    <n v="151.80000000000001"/>
    <n v="165.6"/>
    <n v="161"/>
    <n v="186.5"/>
    <n v="155.5"/>
    <n v="146.1"/>
    <n v="154.19999999999999"/>
    <n v="157.69999999999999"/>
    <n v="147.9"/>
    <n v="150"/>
    <n v="159.30000000000001"/>
    <n v="141.9"/>
    <n v="149.6"/>
    <n v="159.19999999999999"/>
    <n v="156.80000000000001"/>
    <n v="151.9"/>
    <n v="157.30000000000001"/>
    <x v="2"/>
  </r>
  <r>
    <x v="0"/>
    <x v="8"/>
    <x v="1"/>
    <x v="97"/>
    <n v="142.80000000000001"/>
    <n v="184"/>
    <n v="168"/>
    <n v="154.4"/>
    <n v="163"/>
    <n v="147.80000000000001"/>
    <n v="149.69999999999999"/>
    <n v="158.30000000000001"/>
    <n v="111.8"/>
    <n v="165"/>
    <n v="160"/>
    <n v="165.8"/>
    <n v="154.69999999999999"/>
    <n v="186.5"/>
    <n v="159.1"/>
    <n v="153.9"/>
    <n v="158.4"/>
    <s v="NA"/>
    <n v="154.4"/>
    <n v="154.80000000000001"/>
    <n v="164.3"/>
    <n v="150.19999999999999"/>
    <n v="157"/>
    <n v="163.6"/>
    <n v="155.19999999999999"/>
    <n v="157.19999999999999"/>
    <n v="156.69999999999999"/>
    <x v="2"/>
  </r>
  <r>
    <x v="1"/>
    <x v="8"/>
    <x v="1"/>
    <x v="97"/>
    <n v="147.6"/>
    <n v="191.2"/>
    <n v="169.9"/>
    <n v="155.1"/>
    <n v="151.4"/>
    <n v="154"/>
    <n v="180.2"/>
    <n v="159.80000000000001"/>
    <n v="114.9"/>
    <n v="162.5"/>
    <n v="149.19999999999999"/>
    <n v="169.4"/>
    <n v="160.80000000000001"/>
    <n v="193.3"/>
    <n v="154.19999999999999"/>
    <n v="138.19999999999999"/>
    <n v="151.80000000000001"/>
    <n v="159.80000000000001"/>
    <n v="149.1"/>
    <n v="146.5"/>
    <n v="156.30000000000001"/>
    <n v="140.5"/>
    <n v="147.30000000000001"/>
    <n v="156.6"/>
    <n v="156.69999999999999"/>
    <n v="149.30000000000001"/>
    <n v="156.5"/>
    <x v="2"/>
  </r>
  <r>
    <x v="2"/>
    <x v="8"/>
    <x v="1"/>
    <x v="97"/>
    <n v="144.30000000000001"/>
    <n v="186.5"/>
    <n v="168.7"/>
    <n v="154.69999999999999"/>
    <n v="158.69999999999999"/>
    <n v="150.69999999999999"/>
    <n v="160"/>
    <n v="158.80000000000001"/>
    <n v="112.8"/>
    <n v="164.2"/>
    <n v="155.5"/>
    <n v="167.5"/>
    <n v="156.9"/>
    <n v="188.3"/>
    <n v="157.19999999999999"/>
    <n v="147.4"/>
    <n v="155.80000000000001"/>
    <n v="159.80000000000001"/>
    <n v="152.4"/>
    <n v="150.9"/>
    <n v="161.30000000000001"/>
    <n v="145.1"/>
    <n v="151.5"/>
    <n v="159.5"/>
    <n v="155.80000000000001"/>
    <n v="153.4"/>
    <n v="156.6"/>
    <x v="2"/>
  </r>
  <r>
    <x v="0"/>
    <x v="8"/>
    <x v="2"/>
    <x v="98"/>
    <n v="142.5"/>
    <n v="189.4"/>
    <n v="163.19999999999999"/>
    <n v="154.5"/>
    <n v="168.2"/>
    <n v="150.5"/>
    <n v="141"/>
    <n v="159.19999999999999"/>
    <n v="111.7"/>
    <n v="164"/>
    <n v="160.6"/>
    <n v="166.4"/>
    <n v="154.5"/>
    <n v="186.1"/>
    <n v="159.6"/>
    <n v="154.4"/>
    <n v="158.9"/>
    <s v="-"/>
    <n v="156"/>
    <n v="154.80000000000001"/>
    <n v="164.6"/>
    <n v="151.30000000000001"/>
    <n v="157.80000000000001"/>
    <n v="163.80000000000001"/>
    <n v="153.1"/>
    <n v="157.30000000000001"/>
    <n v="156.69999999999999"/>
    <x v="0"/>
  </r>
  <r>
    <x v="1"/>
    <x v="8"/>
    <x v="2"/>
    <x v="98"/>
    <n v="147.5"/>
    <n v="197.5"/>
    <n v="164.7"/>
    <n v="155.6"/>
    <n v="156.4"/>
    <n v="157.30000000000001"/>
    <n v="166.1"/>
    <n v="161.1"/>
    <n v="114.3"/>
    <n v="162.6"/>
    <n v="150.69999999999999"/>
    <n v="170.3"/>
    <n v="160.4"/>
    <n v="193.5"/>
    <n v="155.1"/>
    <n v="138.69999999999999"/>
    <n v="152.6"/>
    <n v="159.9"/>
    <n v="154.80000000000001"/>
    <n v="147.19999999999999"/>
    <n v="156.9"/>
    <n v="141.69999999999999"/>
    <n v="148.6"/>
    <n v="157.6"/>
    <n v="154.9"/>
    <n v="150"/>
    <n v="156.9"/>
    <x v="0"/>
  </r>
  <r>
    <x v="2"/>
    <x v="8"/>
    <x v="2"/>
    <x v="98"/>
    <n v="144.1"/>
    <n v="192.2"/>
    <n v="163.80000000000001"/>
    <n v="154.9"/>
    <n v="163.9"/>
    <n v="153.69999999999999"/>
    <n v="149.5"/>
    <n v="159.80000000000001"/>
    <n v="112.6"/>
    <n v="163.5"/>
    <n v="156.5"/>
    <n v="168.2"/>
    <n v="156.69999999999999"/>
    <n v="188.1"/>
    <n v="157.80000000000001"/>
    <n v="147.9"/>
    <n v="156.4"/>
    <n v="159.9"/>
    <n v="155.5"/>
    <n v="151.19999999999999"/>
    <n v="161.69999999999999"/>
    <n v="146.19999999999999"/>
    <n v="152.6"/>
    <n v="160.19999999999999"/>
    <n v="153.80000000000001"/>
    <n v="153.80000000000001"/>
    <n v="156.80000000000001"/>
    <x v="0"/>
  </r>
  <r>
    <x v="0"/>
    <x v="8"/>
    <x v="3"/>
    <x v="99"/>
    <n v="142.69999999999999"/>
    <n v="195.5"/>
    <n v="163.4"/>
    <n v="155"/>
    <n v="175.2"/>
    <n v="160.6"/>
    <n v="135.1"/>
    <n v="161.1"/>
    <n v="112.2"/>
    <n v="164.4"/>
    <n v="161.9"/>
    <n v="166.8"/>
    <n v="155.6"/>
    <n v="186.8"/>
    <n v="160.69999999999999"/>
    <n v="155.1"/>
    <n v="159.9"/>
    <s v="-"/>
    <n v="156"/>
    <n v="155.5"/>
    <n v="165.3"/>
    <n v="151.69999999999999"/>
    <n v="158.6"/>
    <n v="164.1"/>
    <n v="154.6"/>
    <n v="158"/>
    <n v="157.6"/>
    <x v="0"/>
  </r>
  <r>
    <x v="1"/>
    <x v="8"/>
    <x v="3"/>
    <x v="99"/>
    <n v="147.6"/>
    <n v="202.5"/>
    <n v="166.4"/>
    <n v="156"/>
    <n v="161.4"/>
    <n v="168.8"/>
    <n v="161.6"/>
    <n v="162.80000000000001"/>
    <n v="114.8"/>
    <n v="162.80000000000001"/>
    <n v="151.5"/>
    <n v="171.4"/>
    <n v="162"/>
    <n v="194.4"/>
    <n v="155.9"/>
    <n v="139.30000000000001"/>
    <n v="153.4"/>
    <n v="161.4"/>
    <n v="154.9"/>
    <n v="147.6"/>
    <n v="157.5"/>
    <n v="142.1"/>
    <n v="149.1"/>
    <n v="157.6"/>
    <n v="156.6"/>
    <n v="150.5"/>
    <n v="158"/>
    <x v="0"/>
  </r>
  <r>
    <x v="2"/>
    <x v="8"/>
    <x v="3"/>
    <x v="99"/>
    <n v="144.30000000000001"/>
    <n v="198"/>
    <n v="164.6"/>
    <n v="155.4"/>
    <n v="170.1"/>
    <n v="164.4"/>
    <n v="144.1"/>
    <n v="161.69999999999999"/>
    <n v="113.1"/>
    <n v="163.9"/>
    <n v="157.6"/>
    <n v="168.9"/>
    <n v="158"/>
    <n v="188.8"/>
    <n v="158.80000000000001"/>
    <n v="148.5"/>
    <n v="157.30000000000001"/>
    <n v="161.4"/>
    <n v="155.6"/>
    <n v="151.80000000000001"/>
    <n v="162.30000000000001"/>
    <n v="146.6"/>
    <n v="153.19999999999999"/>
    <n v="160.30000000000001"/>
    <n v="155.4"/>
    <n v="154.4"/>
    <n v="157.80000000000001"/>
    <x v="0"/>
  </r>
  <r>
    <x v="0"/>
    <x v="8"/>
    <x v="4"/>
    <x v="100"/>
    <n v="145.1"/>
    <n v="198.5"/>
    <n v="168.6"/>
    <n v="155.80000000000001"/>
    <n v="184.4"/>
    <n v="162.30000000000001"/>
    <n v="138.4"/>
    <n v="165.1"/>
    <n v="114.3"/>
    <n v="169.7"/>
    <n v="164.6"/>
    <n v="169.8"/>
    <n v="158.69999999999999"/>
    <n v="189.6"/>
    <n v="165.3"/>
    <n v="160.6"/>
    <n v="164.5"/>
    <s v="NA"/>
    <n v="161.69999999999999"/>
    <n v="158.80000000000001"/>
    <n v="169.1"/>
    <n v="153.19999999999999"/>
    <n v="160"/>
    <n v="167.6"/>
    <n v="159.30000000000001"/>
    <n v="161.1"/>
    <n v="161.1"/>
    <x v="0"/>
  </r>
  <r>
    <x v="1"/>
    <x v="8"/>
    <x v="4"/>
    <x v="100"/>
    <n v="148.80000000000001"/>
    <n v="204.3"/>
    <n v="173"/>
    <n v="156.5"/>
    <n v="168.8"/>
    <n v="172.5"/>
    <n v="166.5"/>
    <n v="165.9"/>
    <n v="115.9"/>
    <n v="165.2"/>
    <n v="152"/>
    <n v="171.1"/>
    <n v="164.2"/>
    <n v="198.2"/>
    <n v="156.5"/>
    <n v="140.19999999999999"/>
    <n v="154.1"/>
    <n v="161.6"/>
    <n v="155.5"/>
    <n v="150.1"/>
    <n v="160.4"/>
    <n v="145"/>
    <n v="152.6"/>
    <n v="156.6"/>
    <n v="157.5"/>
    <n v="152.30000000000001"/>
    <n v="159.5"/>
    <x v="0"/>
  </r>
  <r>
    <x v="2"/>
    <x v="8"/>
    <x v="4"/>
    <x v="100"/>
    <n v="146.30000000000001"/>
    <n v="200.5"/>
    <n v="170.3"/>
    <n v="156.1"/>
    <n v="178.7"/>
    <n v="167.1"/>
    <n v="147.9"/>
    <n v="165.4"/>
    <n v="114.8"/>
    <n v="168.2"/>
    <n v="159.30000000000001"/>
    <n v="170.4"/>
    <n v="160.69999999999999"/>
    <n v="191.9"/>
    <n v="161.80000000000001"/>
    <n v="152.1"/>
    <n v="160.4"/>
    <n v="161.6"/>
    <n v="159.4"/>
    <n v="154.69999999999999"/>
    <n v="165.8"/>
    <n v="148.9"/>
    <n v="155.80000000000001"/>
    <n v="161.19999999999999"/>
    <n v="158.6"/>
    <n v="156.80000000000001"/>
    <n v="160.4"/>
    <x v="0"/>
  </r>
  <r>
    <x v="0"/>
    <x v="8"/>
    <x v="5"/>
    <x v="101"/>
    <n v="145.6"/>
    <n v="200.1"/>
    <n v="179.3"/>
    <n v="156.1"/>
    <n v="190.4"/>
    <n v="158.6"/>
    <n v="144.69999999999999"/>
    <n v="165.5"/>
    <n v="114.6"/>
    <n v="170"/>
    <n v="165.5"/>
    <n v="171.7"/>
    <n v="160.5"/>
    <n v="189.1"/>
    <n v="165.3"/>
    <n v="159.9"/>
    <n v="164.6"/>
    <s v="NA"/>
    <n v="162.1"/>
    <n v="159.19999999999999"/>
    <n v="169.7"/>
    <n v="154.19999999999999"/>
    <n v="160.4"/>
    <n v="166.8"/>
    <n v="159.4"/>
    <n v="161.5"/>
    <n v="162.1"/>
    <x v="0"/>
  </r>
  <r>
    <x v="1"/>
    <x v="8"/>
    <x v="5"/>
    <x v="101"/>
    <n v="149.19999999999999"/>
    <n v="205.5"/>
    <n v="182.8"/>
    <n v="156.5"/>
    <n v="172.2"/>
    <n v="171.5"/>
    <n v="176.2"/>
    <n v="166.9"/>
    <n v="116.1"/>
    <n v="165.5"/>
    <n v="152.30000000000001"/>
    <n v="173.3"/>
    <n v="166.2"/>
    <n v="195.6"/>
    <n v="157.30000000000001"/>
    <n v="140.5"/>
    <n v="154.80000000000001"/>
    <n v="160.5"/>
    <n v="156.1"/>
    <n v="149.80000000000001"/>
    <n v="160.80000000000001"/>
    <n v="147.5"/>
    <n v="150.69999999999999"/>
    <n v="158.1"/>
    <n v="158"/>
    <n v="153.4"/>
    <n v="160.4"/>
    <x v="0"/>
  </r>
  <r>
    <x v="2"/>
    <x v="8"/>
    <x v="5"/>
    <x v="101"/>
    <n v="146.69999999999999"/>
    <n v="202"/>
    <n v="180.7"/>
    <n v="156.19999999999999"/>
    <n v="183.7"/>
    <n v="164.6"/>
    <n v="155.4"/>
    <n v="166"/>
    <n v="115.1"/>
    <n v="168.5"/>
    <n v="160"/>
    <n v="172.4"/>
    <n v="162.6"/>
    <n v="190.8"/>
    <n v="162.19999999999999"/>
    <n v="151.80000000000001"/>
    <n v="160.69999999999999"/>
    <n v="160.5"/>
    <n v="159.80000000000001"/>
    <n v="154.80000000000001"/>
    <n v="166.3"/>
    <n v="150.69999999999999"/>
    <n v="154.9"/>
    <n v="161.69999999999999"/>
    <n v="158.80000000000001"/>
    <n v="157.6"/>
    <n v="161.30000000000001"/>
    <x v="0"/>
  </r>
  <r>
    <x v="0"/>
    <x v="8"/>
    <x v="6"/>
    <x v="102"/>
    <n v="145.1"/>
    <n v="204.5"/>
    <n v="180.4"/>
    <n v="157.1"/>
    <n v="188.7"/>
    <n v="157.69999999999999"/>
    <n v="152.80000000000001"/>
    <n v="163.6"/>
    <n v="113.9"/>
    <n v="169.7"/>
    <n v="166.2"/>
    <n v="171"/>
    <n v="161.69999999999999"/>
    <n v="189.7"/>
    <n v="166"/>
    <n v="161.1"/>
    <n v="165.3"/>
    <s v="NA"/>
    <n v="162.5"/>
    <n v="160.30000000000001"/>
    <n v="170.4"/>
    <n v="157.1"/>
    <n v="160.69999999999999"/>
    <n v="167.2"/>
    <n v="160.4"/>
    <n v="162.80000000000001"/>
    <n v="163.19999999999999"/>
    <x v="0"/>
  </r>
  <r>
    <x v="1"/>
    <x v="8"/>
    <x v="6"/>
    <x v="102"/>
    <n v="149.1"/>
    <n v="210.9"/>
    <n v="185"/>
    <n v="158.19999999999999"/>
    <n v="170.6"/>
    <n v="170.9"/>
    <n v="186.4"/>
    <n v="164.7"/>
    <n v="115.7"/>
    <n v="165.5"/>
    <n v="153.4"/>
    <n v="173.5"/>
    <n v="167.9"/>
    <n v="195.5"/>
    <n v="157.9"/>
    <n v="141.9"/>
    <n v="155.5"/>
    <n v="161.5"/>
    <n v="157.69999999999999"/>
    <n v="150.69999999999999"/>
    <n v="161.5"/>
    <n v="149.5"/>
    <n v="151.19999999999999"/>
    <n v="160.30000000000001"/>
    <n v="159.6"/>
    <n v="155"/>
    <n v="161.80000000000001"/>
    <x v="0"/>
  </r>
  <r>
    <x v="2"/>
    <x v="8"/>
    <x v="6"/>
    <x v="102"/>
    <n v="146.4"/>
    <n v="206.8"/>
    <n v="182.2"/>
    <n v="157.5"/>
    <n v="182.1"/>
    <n v="163.9"/>
    <n v="164.2"/>
    <n v="164"/>
    <n v="114.5"/>
    <n v="168.3"/>
    <n v="160.9"/>
    <n v="172.2"/>
    <n v="164"/>
    <n v="191.2"/>
    <n v="162.80000000000001"/>
    <n v="153.1"/>
    <n v="161.4"/>
    <n v="161.5"/>
    <n v="160.69999999999999"/>
    <n v="155.80000000000001"/>
    <n v="167"/>
    <n v="153.1"/>
    <n v="155.30000000000001"/>
    <n v="163.19999999999999"/>
    <n v="160.1"/>
    <n v="159"/>
    <n v="162.5"/>
    <x v="0"/>
  </r>
  <r>
    <x v="0"/>
    <x v="8"/>
    <x v="7"/>
    <x v="103"/>
    <n v="144.9"/>
    <n v="202.3"/>
    <n v="176.5"/>
    <n v="157.5"/>
    <n v="190.9"/>
    <n v="155.69999999999999"/>
    <n v="153.9"/>
    <n v="162.80000000000001"/>
    <n v="115.2"/>
    <n v="169.8"/>
    <n v="167.6"/>
    <n v="171.9"/>
    <n v="161.80000000000001"/>
    <n v="190.2"/>
    <n v="167"/>
    <n v="162.6"/>
    <n v="166.3"/>
    <s v="NA"/>
    <n v="163.1"/>
    <n v="160.9"/>
    <n v="171.1"/>
    <n v="157.69999999999999"/>
    <n v="161.1"/>
    <n v="167.5"/>
    <n v="160.30000000000001"/>
    <n v="163.30000000000001"/>
    <n v="163.6"/>
    <x v="0"/>
  </r>
  <r>
    <x v="1"/>
    <x v="8"/>
    <x v="7"/>
    <x v="103"/>
    <n v="149.30000000000001"/>
    <n v="207.4"/>
    <n v="174.1"/>
    <n v="159.19999999999999"/>
    <n v="175"/>
    <n v="161.30000000000001"/>
    <n v="183.3"/>
    <n v="164.5"/>
    <n v="120.4"/>
    <n v="166.2"/>
    <n v="154.80000000000001"/>
    <n v="175.1"/>
    <n v="167.3"/>
    <n v="196.5"/>
    <n v="159.80000000000001"/>
    <n v="143.6"/>
    <n v="157.30000000000001"/>
    <n v="162.1"/>
    <n v="160.69999999999999"/>
    <n v="153.19999999999999"/>
    <n v="162.80000000000001"/>
    <n v="150.4"/>
    <n v="153.69999999999999"/>
    <n v="160.4"/>
    <n v="159.6"/>
    <n v="156"/>
    <n v="162.30000000000001"/>
    <x v="0"/>
  </r>
  <r>
    <x v="2"/>
    <x v="8"/>
    <x v="7"/>
    <x v="103"/>
    <n v="146.6"/>
    <n v="204"/>
    <n v="172.8"/>
    <n v="158.4"/>
    <n v="188"/>
    <n v="156.80000000000001"/>
    <n v="162.19999999999999"/>
    <n v="164.1"/>
    <n v="119.7"/>
    <n v="168.8"/>
    <n v="162.69999999999999"/>
    <n v="173.9"/>
    <n v="164"/>
    <n v="192.1"/>
    <n v="164.5"/>
    <n v="155.30000000000001"/>
    <n v="163.19999999999999"/>
    <n v="162.1"/>
    <n v="162.6"/>
    <n v="157.5"/>
    <n v="168.4"/>
    <n v="154"/>
    <n v="157.6"/>
    <n v="163.80000000000001"/>
    <n v="160"/>
    <n v="160"/>
    <n v="163.19999999999999"/>
    <x v="0"/>
  </r>
  <r>
    <x v="0"/>
    <x v="8"/>
    <x v="8"/>
    <x v="104"/>
    <n v="145.4"/>
    <n v="202.1"/>
    <n v="172"/>
    <n v="158"/>
    <n v="195.5"/>
    <n v="152.69999999999999"/>
    <n v="151.4"/>
    <n v="163.9"/>
    <n v="119.3"/>
    <n v="170.1"/>
    <n v="168.3"/>
    <n v="172.8"/>
    <n v="162.1"/>
    <n v="190.5"/>
    <n v="167.7"/>
    <n v="163.6"/>
    <n v="167.1"/>
    <s v="NA"/>
    <n v="163.69999999999999"/>
    <n v="161.30000000000001"/>
    <n v="171.9"/>
    <n v="157.80000000000001"/>
    <n v="162.69999999999999"/>
    <n v="168.5"/>
    <n v="160.19999999999999"/>
    <n v="163.80000000000001"/>
    <n v="164"/>
    <x v="0"/>
  </r>
  <r>
    <x v="1"/>
    <x v="8"/>
    <x v="8"/>
    <x v="104"/>
    <n v="149.30000000000001"/>
    <n v="207.4"/>
    <n v="174.1"/>
    <n v="159.1"/>
    <n v="175"/>
    <n v="161.19999999999999"/>
    <n v="183.5"/>
    <n v="164.5"/>
    <n v="120.4"/>
    <n v="166.2"/>
    <n v="154.80000000000001"/>
    <n v="175.1"/>
    <n v="167.3"/>
    <n v="196.5"/>
    <n v="159.80000000000001"/>
    <n v="143.6"/>
    <n v="157.4"/>
    <n v="162.1"/>
    <n v="160.80000000000001"/>
    <n v="153.30000000000001"/>
    <n v="162.80000000000001"/>
    <n v="150.5"/>
    <n v="153.9"/>
    <n v="160.30000000000001"/>
    <n v="159.6"/>
    <n v="156"/>
    <n v="162.30000000000001"/>
    <x v="0"/>
  </r>
  <r>
    <x v="2"/>
    <x v="8"/>
    <x v="8"/>
    <x v="104"/>
    <n v="146.6"/>
    <n v="204"/>
    <n v="172.8"/>
    <n v="158.4"/>
    <n v="188"/>
    <n v="156.69999999999999"/>
    <n v="162.30000000000001"/>
    <n v="164.1"/>
    <n v="119.7"/>
    <n v="168.8"/>
    <n v="162.69999999999999"/>
    <n v="173.9"/>
    <n v="164"/>
    <n v="192.1"/>
    <n v="164.6"/>
    <n v="155.30000000000001"/>
    <n v="163.30000000000001"/>
    <n v="162.1"/>
    <n v="162.6"/>
    <n v="157.5"/>
    <n v="168.4"/>
    <n v="154"/>
    <n v="157.69999999999999"/>
    <n v="163.69999999999999"/>
    <n v="160"/>
    <n v="160"/>
    <n v="163.19999999999999"/>
    <x v="0"/>
  </r>
  <r>
    <x v="0"/>
    <x v="8"/>
    <x v="9"/>
    <x v="105"/>
    <n v="146.1"/>
    <n v="202.5"/>
    <n v="170.1"/>
    <n v="158.4"/>
    <n v="198.8"/>
    <n v="152.6"/>
    <n v="170.4"/>
    <n v="165.2"/>
    <n v="121.6"/>
    <n v="170.6"/>
    <n v="168.8"/>
    <n v="173.6"/>
    <n v="165.5"/>
    <n v="191.2"/>
    <n v="168.9"/>
    <n v="164.8"/>
    <n v="168.3"/>
    <s v="NA"/>
    <n v="165.5"/>
    <n v="162"/>
    <n v="172.5"/>
    <n v="159.5"/>
    <n v="163.19999999999999"/>
    <n v="169"/>
    <n v="161.1"/>
    <n v="164.7"/>
    <n v="166.3"/>
    <x v="0"/>
  </r>
  <r>
    <x v="1"/>
    <x v="8"/>
    <x v="9"/>
    <x v="105"/>
    <n v="150.1"/>
    <n v="208.4"/>
    <n v="173"/>
    <n v="159.19999999999999"/>
    <n v="176.6"/>
    <n v="159.30000000000001"/>
    <n v="214.4"/>
    <n v="165.3"/>
    <n v="122.5"/>
    <n v="166.8"/>
    <n v="155.4"/>
    <n v="175.9"/>
    <n v="171.5"/>
    <n v="197"/>
    <n v="160.80000000000001"/>
    <n v="144.4"/>
    <n v="158.30000000000001"/>
    <n v="163.6"/>
    <n v="162.19999999999999"/>
    <n v="154.30000000000001"/>
    <n v="163.5"/>
    <n v="152.19999999999999"/>
    <n v="155.1"/>
    <n v="160.30000000000001"/>
    <n v="160.30000000000001"/>
    <n v="157"/>
    <n v="164.6"/>
    <x v="0"/>
  </r>
  <r>
    <x v="2"/>
    <x v="8"/>
    <x v="9"/>
    <x v="105"/>
    <n v="147.4"/>
    <n v="204.6"/>
    <n v="171.2"/>
    <n v="158.69999999999999"/>
    <n v="190.6"/>
    <n v="155.69999999999999"/>
    <n v="185.3"/>
    <n v="165.2"/>
    <n v="121.9"/>
    <n v="169.3"/>
    <n v="163.19999999999999"/>
    <n v="174.7"/>
    <n v="167.7"/>
    <n v="192.7"/>
    <n v="165.7"/>
    <n v="156.30000000000001"/>
    <n v="164.3"/>
    <n v="163.6"/>
    <n v="164.2"/>
    <n v="158.4"/>
    <n v="169.1"/>
    <n v="155.69999999999999"/>
    <n v="158.6"/>
    <n v="163.9"/>
    <n v="160.80000000000001"/>
    <n v="161"/>
    <n v="165.5"/>
    <x v="0"/>
  </r>
  <r>
    <x v="0"/>
    <x v="8"/>
    <x v="11"/>
    <x v="106"/>
    <n v="146.9"/>
    <n v="199.8"/>
    <n v="171.5"/>
    <n v="159.1"/>
    <n v="198.4"/>
    <n v="153.19999999999999"/>
    <n v="183.9"/>
    <n v="165.4"/>
    <n v="122.1"/>
    <n v="170.8"/>
    <n v="169.1"/>
    <n v="174.3"/>
    <n v="167.5"/>
    <n v="191.4"/>
    <n v="170.4"/>
    <n v="166"/>
    <n v="169.8"/>
    <s v="NA"/>
    <n v="165.3"/>
    <n v="162.9"/>
    <n v="173.4"/>
    <n v="158.9"/>
    <n v="163.80000000000001"/>
    <n v="169.3"/>
    <n v="162.4"/>
    <n v="165.2"/>
    <n v="167.6"/>
    <x v="0"/>
  </r>
  <r>
    <x v="1"/>
    <x v="8"/>
    <x v="11"/>
    <x v="106"/>
    <n v="151"/>
    <n v="204.9"/>
    <n v="175.4"/>
    <n v="159.6"/>
    <n v="175.8"/>
    <n v="160.30000000000001"/>
    <n v="229.1"/>
    <n v="165.1"/>
    <n v="123.1"/>
    <n v="167.2"/>
    <n v="156.1"/>
    <n v="176.8"/>
    <n v="173.5"/>
    <n v="197"/>
    <n v="162.30000000000001"/>
    <n v="145.30000000000001"/>
    <n v="159.69999999999999"/>
    <n v="164.2"/>
    <n v="161.6"/>
    <n v="155.19999999999999"/>
    <n v="164.2"/>
    <n v="151.19999999999999"/>
    <n v="156.69999999999999"/>
    <n v="160.80000000000001"/>
    <n v="161.80000000000001"/>
    <n v="157.30000000000001"/>
    <n v="165.6"/>
    <x v="0"/>
  </r>
  <r>
    <x v="2"/>
    <x v="8"/>
    <x v="11"/>
    <x v="106"/>
    <n v="148.19999999999999"/>
    <n v="201.6"/>
    <n v="173"/>
    <n v="159.30000000000001"/>
    <n v="190.1"/>
    <n v="156.5"/>
    <n v="199.2"/>
    <n v="165.3"/>
    <n v="122.4"/>
    <n v="169.6"/>
    <n v="163.69999999999999"/>
    <n v="175.5"/>
    <n v="169.7"/>
    <n v="192.9"/>
    <n v="167.2"/>
    <n v="157.4"/>
    <n v="165.8"/>
    <n v="164.2"/>
    <n v="163.9"/>
    <n v="159.30000000000001"/>
    <n v="169.9"/>
    <n v="154.80000000000001"/>
    <n v="159.80000000000001"/>
    <n v="164.3"/>
    <n v="162.19999999999999"/>
    <n v="161.4"/>
    <n v="166.7"/>
    <x v="0"/>
  </r>
  <r>
    <x v="0"/>
    <x v="8"/>
    <x v="12"/>
    <x v="107"/>
    <n v="147.4"/>
    <n v="197"/>
    <n v="176.5"/>
    <n v="159.80000000000001"/>
    <n v="195.8"/>
    <n v="152"/>
    <n v="172.3"/>
    <n v="164.5"/>
    <n v="120.6"/>
    <n v="171.7"/>
    <n v="169.7"/>
    <n v="175.1"/>
    <n v="165.8"/>
    <n v="190.8"/>
    <n v="171.8"/>
    <n v="167.3"/>
    <n v="171.2"/>
    <s v="NA"/>
    <n v="165.6"/>
    <n v="163.9"/>
    <n v="174"/>
    <n v="160.1"/>
    <n v="164.5"/>
    <n v="169.7"/>
    <n v="162.80000000000001"/>
    <n v="166"/>
    <n v="167"/>
    <x v="0"/>
  </r>
  <r>
    <x v="1"/>
    <x v="8"/>
    <x v="12"/>
    <x v="107"/>
    <n v="151.6"/>
    <n v="202.2"/>
    <n v="180"/>
    <n v="160"/>
    <n v="173.5"/>
    <n v="158.30000000000001"/>
    <n v="219.5"/>
    <n v="164.2"/>
    <n v="121.9"/>
    <n v="168.2"/>
    <n v="156.5"/>
    <n v="178.2"/>
    <n v="172.2"/>
    <n v="196.8"/>
    <n v="163.30000000000001"/>
    <n v="146.69999999999999"/>
    <n v="160.69999999999999"/>
    <n v="163.4"/>
    <n v="161.69999999999999"/>
    <n v="156"/>
    <n v="165.1"/>
    <n v="151.80000000000001"/>
    <n v="157.6"/>
    <n v="160.6"/>
    <n v="162.4"/>
    <n v="157.80000000000001"/>
    <n v="165.2"/>
    <x v="0"/>
  </r>
  <r>
    <x v="2"/>
    <x v="8"/>
    <x v="12"/>
    <x v="107"/>
    <n v="148.69999999999999"/>
    <n v="198.8"/>
    <n v="177.9"/>
    <n v="159.9"/>
    <n v="187.6"/>
    <n v="154.9"/>
    <n v="188.3"/>
    <n v="164.4"/>
    <n v="121"/>
    <n v="170.5"/>
    <n v="164.2"/>
    <n v="176.5"/>
    <n v="168.2"/>
    <n v="192.4"/>
    <n v="168.5"/>
    <n v="158.69999999999999"/>
    <n v="167"/>
    <n v="163.4"/>
    <n v="164.1"/>
    <n v="160.19999999999999"/>
    <n v="170.6"/>
    <n v="155.69999999999999"/>
    <n v="160.6"/>
    <n v="164.4"/>
    <n v="162.6"/>
    <n v="162"/>
    <n v="166.2"/>
    <x v="0"/>
  </r>
  <r>
    <x v="0"/>
    <x v="9"/>
    <x v="0"/>
    <x v="108"/>
    <n v="148.30000000000001"/>
    <n v="196.9"/>
    <n v="178"/>
    <n v="160.5"/>
    <n v="192.6"/>
    <n v="151.19999999999999"/>
    <n v="159.19999999999999"/>
    <n v="164"/>
    <n v="119.3"/>
    <n v="173.3"/>
    <n v="169.8"/>
    <n v="175.8"/>
    <n v="164.1"/>
    <n v="190.7"/>
    <n v="173.2"/>
    <n v="169.3"/>
    <n v="172.7"/>
    <s v="NA"/>
    <n v="165.8"/>
    <n v="164.9"/>
    <n v="174.7"/>
    <n v="160.80000000000001"/>
    <n v="164.9"/>
    <n v="169.9"/>
    <n v="163.19999999999999"/>
    <n v="166.6"/>
    <n v="166.4"/>
    <x v="0"/>
  </r>
  <r>
    <x v="1"/>
    <x v="9"/>
    <x v="0"/>
    <x v="108"/>
    <n v="152.19999999999999"/>
    <n v="202.1"/>
    <n v="180.1"/>
    <n v="160.4"/>
    <n v="171"/>
    <n v="156.5"/>
    <n v="203.6"/>
    <n v="163.80000000000001"/>
    <n v="121.3"/>
    <n v="169.8"/>
    <n v="156.6"/>
    <n v="179"/>
    <n v="170.3"/>
    <n v="196.4"/>
    <n v="164.7"/>
    <n v="148.5"/>
    <n v="162.19999999999999"/>
    <n v="164.5"/>
    <n v="161.6"/>
    <n v="156.80000000000001"/>
    <n v="166.1"/>
    <n v="152.69999999999999"/>
    <n v="158.4"/>
    <n v="161"/>
    <n v="162.80000000000001"/>
    <n v="158.6"/>
    <n v="165"/>
    <x v="0"/>
  </r>
  <r>
    <x v="2"/>
    <x v="9"/>
    <x v="0"/>
    <x v="108"/>
    <n v="149.5"/>
    <n v="198.7"/>
    <n v="178.8"/>
    <n v="160.5"/>
    <n v="184.7"/>
    <n v="153.69999999999999"/>
    <n v="174.3"/>
    <n v="163.9"/>
    <n v="120"/>
    <n v="172.1"/>
    <n v="164.3"/>
    <n v="177.3"/>
    <n v="166.4"/>
    <n v="192.2"/>
    <n v="169.9"/>
    <n v="160.69999999999999"/>
    <n v="168.5"/>
    <n v="164.5"/>
    <n v="164.2"/>
    <n v="161.1"/>
    <n v="171.4"/>
    <n v="156.5"/>
    <n v="161.19999999999999"/>
    <n v="164.7"/>
    <n v="163"/>
    <n v="162.69999999999999"/>
    <n v="165.7"/>
    <x v="0"/>
  </r>
  <r>
    <x v="0"/>
    <x v="9"/>
    <x v="1"/>
    <x v="109"/>
    <n v="148.80000000000001"/>
    <n v="198.1"/>
    <n v="175.5"/>
    <n v="160.69999999999999"/>
    <n v="192.6"/>
    <n v="151.4"/>
    <n v="155.19999999999999"/>
    <n v="163.9"/>
    <n v="118.1"/>
    <n v="175.4"/>
    <n v="170.5"/>
    <n v="176.3"/>
    <n v="163.9"/>
    <n v="191.5"/>
    <n v="174.1"/>
    <n v="171"/>
    <n v="173.7"/>
    <s v="NA"/>
    <n v="167.4"/>
    <n v="165.7"/>
    <n v="175.3"/>
    <n v="161.19999999999999"/>
    <n v="165.5"/>
    <n v="170.3"/>
    <n v="164.5"/>
    <n v="167.3"/>
    <n v="166.7"/>
    <x v="0"/>
  </r>
  <r>
    <x v="1"/>
    <x v="9"/>
    <x v="1"/>
    <x v="109"/>
    <n v="152.5"/>
    <n v="205.2"/>
    <n v="176.4"/>
    <n v="160.6"/>
    <n v="171.5"/>
    <n v="156.4"/>
    <n v="198"/>
    <n v="163.19999999999999"/>
    <n v="120.6"/>
    <n v="172.2"/>
    <n v="156.69999999999999"/>
    <n v="180"/>
    <n v="170.2"/>
    <n v="196.5"/>
    <n v="165.7"/>
    <n v="150.4"/>
    <n v="163.4"/>
    <n v="165.5"/>
    <n v="163"/>
    <n v="157.4"/>
    <n v="167.2"/>
    <n v="153.1"/>
    <n v="159.5"/>
    <n v="162"/>
    <n v="164.2"/>
    <n v="159.4"/>
    <n v="165.5"/>
    <x v="0"/>
  </r>
  <r>
    <x v="2"/>
    <x v="9"/>
    <x v="1"/>
    <x v="109"/>
    <n v="150"/>
    <n v="200.6"/>
    <n v="175.8"/>
    <n v="160.69999999999999"/>
    <n v="184.9"/>
    <n v="153.69999999999999"/>
    <n v="169.7"/>
    <n v="163.69999999999999"/>
    <n v="118.9"/>
    <n v="174.3"/>
    <n v="164.7"/>
    <n v="178"/>
    <n v="166.2"/>
    <n v="192.8"/>
    <n v="170.8"/>
    <n v="162.4"/>
    <n v="169.6"/>
    <n v="165.5"/>
    <n v="165.7"/>
    <n v="161.80000000000001"/>
    <n v="172.2"/>
    <n v="156.9"/>
    <n v="162.1"/>
    <n v="165.4"/>
    <n v="164.4"/>
    <n v="163.5"/>
    <n v="166.1"/>
    <x v="0"/>
  </r>
  <r>
    <x v="0"/>
    <x v="9"/>
    <x v="2"/>
    <x v="110"/>
    <n v="150.19999999999999"/>
    <n v="208"/>
    <n v="167.9"/>
    <n v="162"/>
    <n v="203.1"/>
    <n v="155.9"/>
    <n v="155.80000000000001"/>
    <n v="164.2"/>
    <n v="118.1"/>
    <n v="178.7"/>
    <n v="171.2"/>
    <n v="177.4"/>
    <n v="166.6"/>
    <n v="192.3"/>
    <n v="175.4"/>
    <n v="173.2"/>
    <n v="175.1"/>
    <s v="NA"/>
    <n v="168.9"/>
    <n v="166.5"/>
    <n v="176"/>
    <n v="162"/>
    <n v="166.6"/>
    <n v="170.6"/>
    <n v="167.4"/>
    <n v="168.3"/>
    <n v="168.7"/>
    <x v="0"/>
  </r>
  <r>
    <x v="1"/>
    <x v="9"/>
    <x v="2"/>
    <x v="110"/>
    <n v="153.69999999999999"/>
    <n v="215.8"/>
    <n v="167.7"/>
    <n v="162.6"/>
    <n v="180"/>
    <n v="159.6"/>
    <n v="188.4"/>
    <n v="163.4"/>
    <n v="120.3"/>
    <n v="174.7"/>
    <n v="157.1"/>
    <n v="181.5"/>
    <n v="171.5"/>
    <n v="197.5"/>
    <n v="167.1"/>
    <n v="152.6"/>
    <n v="164.9"/>
    <n v="165.3"/>
    <n v="164.5"/>
    <n v="158.6"/>
    <n v="168.2"/>
    <n v="154.19999999999999"/>
    <n v="160.80000000000001"/>
    <n v="162.69999999999999"/>
    <n v="166.8"/>
    <n v="160.6"/>
    <n v="166.5"/>
    <x v="0"/>
  </r>
  <r>
    <x v="2"/>
    <x v="9"/>
    <x v="2"/>
    <x v="110"/>
    <n v="151.30000000000001"/>
    <n v="210.7"/>
    <n v="167.8"/>
    <n v="162.19999999999999"/>
    <n v="194.6"/>
    <n v="157.6"/>
    <n v="166.9"/>
    <n v="163.9"/>
    <n v="118.8"/>
    <n v="177.4"/>
    <n v="165.3"/>
    <n v="179.3"/>
    <n v="168.4"/>
    <n v="193.7"/>
    <n v="172.1"/>
    <n v="164.6"/>
    <n v="171.1"/>
    <n v="165.3"/>
    <n v="167.2"/>
    <n v="162.80000000000001"/>
    <n v="173"/>
    <n v="157.9"/>
    <n v="163.30000000000001"/>
    <n v="166"/>
    <n v="167.2"/>
    <n v="164.6"/>
    <n v="167.7"/>
    <x v="0"/>
  </r>
  <r>
    <x v="0"/>
    <x v="9"/>
    <x v="3"/>
    <x v="111"/>
    <n v="151.80000000000001"/>
    <n v="209.7"/>
    <n v="164.5"/>
    <n v="163.80000000000001"/>
    <n v="207.4"/>
    <n v="169.7"/>
    <n v="153.6"/>
    <n v="165.1"/>
    <n v="118.2"/>
    <n v="182.9"/>
    <n v="172.4"/>
    <n v="178.9"/>
    <n v="168.6"/>
    <n v="192.8"/>
    <n v="177.5"/>
    <n v="175.1"/>
    <n v="177.1"/>
    <s v="NA"/>
    <n v="173.3"/>
    <n v="167.7"/>
    <n v="177"/>
    <n v="166.2"/>
    <n v="167.2"/>
    <n v="170.9"/>
    <n v="169"/>
    <n v="170.2"/>
    <n v="170.8"/>
    <x v="0"/>
  </r>
  <r>
    <x v="1"/>
    <x v="9"/>
    <x v="3"/>
    <x v="111"/>
    <n v="155.4"/>
    <n v="215.8"/>
    <n v="164.6"/>
    <n v="164.2"/>
    <n v="186"/>
    <n v="175.9"/>
    <n v="190.7"/>
    <n v="164"/>
    <n v="120.5"/>
    <n v="178"/>
    <n v="157.5"/>
    <n v="183.3"/>
    <n v="174.5"/>
    <n v="197.1"/>
    <n v="168.4"/>
    <n v="154.5"/>
    <n v="166.3"/>
    <n v="167"/>
    <n v="170.5"/>
    <n v="159.80000000000001"/>
    <n v="169"/>
    <n v="159.30000000000001"/>
    <n v="162.19999999999999"/>
    <n v="164"/>
    <n v="168.4"/>
    <n v="163.1"/>
    <n v="169.2"/>
    <x v="0"/>
  </r>
  <r>
    <x v="2"/>
    <x v="9"/>
    <x v="3"/>
    <x v="111"/>
    <n v="152.9"/>
    <n v="211.8"/>
    <n v="164.5"/>
    <n v="163.9"/>
    <n v="199.5"/>
    <n v="172.6"/>
    <n v="166.2"/>
    <n v="164.7"/>
    <n v="119"/>
    <n v="181.3"/>
    <n v="166.2"/>
    <n v="180.9"/>
    <n v="170.8"/>
    <n v="193.9"/>
    <n v="173.9"/>
    <n v="166.5"/>
    <n v="172.8"/>
    <n v="167"/>
    <n v="172.2"/>
    <n v="164"/>
    <n v="174"/>
    <n v="162.6"/>
    <n v="164.4"/>
    <n v="166.9"/>
    <n v="168.8"/>
    <n v="166.8"/>
    <n v="170.1"/>
    <x v="0"/>
  </r>
  <r>
    <x v="0"/>
    <x v="9"/>
    <x v="4"/>
    <x v="112"/>
    <n v="152.9"/>
    <n v="214.7"/>
    <n v="161.4"/>
    <n v="164.6"/>
    <n v="209.9"/>
    <n v="168"/>
    <n v="160.4"/>
    <n v="165"/>
    <n v="118.9"/>
    <n v="186.6"/>
    <n v="173.2"/>
    <n v="180.4"/>
    <n v="170.8"/>
    <n v="192.9"/>
    <n v="179.3"/>
    <n v="177.2"/>
    <n v="179"/>
    <s v="NA"/>
    <n v="175.3"/>
    <n v="168.9"/>
    <n v="177.7"/>
    <n v="167.1"/>
    <n v="167.6"/>
    <n v="171.8"/>
    <n v="168.5"/>
    <n v="170.9"/>
    <n v="172.5"/>
    <x v="0"/>
  </r>
  <r>
    <x v="1"/>
    <x v="9"/>
    <x v="4"/>
    <x v="112"/>
    <n v="156.69999999999999"/>
    <n v="221.2"/>
    <n v="164.1"/>
    <n v="165.4"/>
    <n v="189.5"/>
    <n v="174.5"/>
    <n v="203.2"/>
    <n v="164.1"/>
    <n v="121.2"/>
    <n v="181.4"/>
    <n v="158.5"/>
    <n v="184.9"/>
    <n v="177.5"/>
    <n v="197.5"/>
    <n v="170"/>
    <n v="155.9"/>
    <n v="167.8"/>
    <n v="167.5"/>
    <n v="173.5"/>
    <n v="161.1"/>
    <n v="170.1"/>
    <n v="159.4"/>
    <n v="163.19999999999999"/>
    <n v="165.2"/>
    <n v="168.2"/>
    <n v="163.80000000000001"/>
    <n v="170.8"/>
    <x v="0"/>
  </r>
  <r>
    <x v="2"/>
    <x v="9"/>
    <x v="4"/>
    <x v="112"/>
    <n v="154.1"/>
    <n v="217"/>
    <n v="162.4"/>
    <n v="164.9"/>
    <n v="202.4"/>
    <n v="171"/>
    <n v="174.9"/>
    <n v="164.7"/>
    <n v="119.7"/>
    <n v="184.9"/>
    <n v="167.1"/>
    <n v="182.5"/>
    <n v="173.3"/>
    <n v="194.1"/>
    <n v="175.6"/>
    <n v="168.4"/>
    <n v="174.6"/>
    <n v="167.5"/>
    <n v="174.6"/>
    <n v="165.2"/>
    <n v="174.8"/>
    <n v="163"/>
    <n v="165.1"/>
    <n v="167.9"/>
    <n v="168.4"/>
    <n v="167.5"/>
    <n v="171.7"/>
    <x v="0"/>
  </r>
  <r>
    <x v="0"/>
    <x v="9"/>
    <x v="5"/>
    <x v="113"/>
    <n v="153.80000000000001"/>
    <n v="217.2"/>
    <n v="169.6"/>
    <n v="165.4"/>
    <n v="208.1"/>
    <n v="165.8"/>
    <n v="167.3"/>
    <n v="164.6"/>
    <n v="119.1"/>
    <n v="188.9"/>
    <n v="174.2"/>
    <n v="181.9"/>
    <n v="172.4"/>
    <n v="192.9"/>
    <n v="180.7"/>
    <n v="178.7"/>
    <n v="180.4"/>
    <s v="NA"/>
    <n v="176.7"/>
    <n v="170.3"/>
    <n v="178.2"/>
    <n v="165.5"/>
    <n v="168"/>
    <n v="172.6"/>
    <n v="169.5"/>
    <n v="171"/>
    <n v="173.6"/>
    <x v="0"/>
  </r>
  <r>
    <x v="1"/>
    <x v="9"/>
    <x v="5"/>
    <x v="113"/>
    <n v="157.5"/>
    <n v="223.4"/>
    <n v="172.8"/>
    <n v="166.4"/>
    <n v="188.6"/>
    <n v="174.1"/>
    <n v="211.5"/>
    <n v="163.6"/>
    <n v="121.4"/>
    <n v="183.5"/>
    <n v="159.1"/>
    <n v="186.3"/>
    <n v="179.3"/>
    <n v="198.3"/>
    <n v="171.6"/>
    <n v="157.4"/>
    <n v="169.4"/>
    <n v="166.8"/>
    <n v="174.9"/>
    <n v="162.1"/>
    <n v="170.9"/>
    <n v="157.19999999999999"/>
    <n v="164.1"/>
    <n v="166.5"/>
    <n v="169.2"/>
    <n v="163.80000000000001"/>
    <n v="171.4"/>
    <x v="0"/>
  </r>
  <r>
    <x v="2"/>
    <x v="9"/>
    <x v="5"/>
    <x v="113"/>
    <n v="155"/>
    <n v="219.4"/>
    <n v="170.8"/>
    <n v="165.8"/>
    <n v="200.9"/>
    <n v="169.7"/>
    <n v="182.3"/>
    <n v="164.3"/>
    <n v="119.9"/>
    <n v="187.1"/>
    <n v="167.9"/>
    <n v="183.9"/>
    <n v="174.9"/>
    <n v="194.3"/>
    <n v="177.1"/>
    <n v="169.9"/>
    <n v="176"/>
    <n v="166.8"/>
    <n v="176"/>
    <n v="166.4"/>
    <n v="175.4"/>
    <n v="161.1"/>
    <n v="165.8"/>
    <n v="169"/>
    <n v="169.4"/>
    <n v="167.5"/>
    <n v="172.6"/>
    <x v="0"/>
  </r>
  <r>
    <x v="0"/>
    <x v="9"/>
    <x v="6"/>
    <x v="114"/>
    <n v="155.19999999999999"/>
    <n v="210.8"/>
    <n v="174.3"/>
    <n v="166.3"/>
    <n v="202.2"/>
    <n v="169.6"/>
    <n v="168.6"/>
    <n v="164.4"/>
    <n v="119.2"/>
    <n v="191.8"/>
    <n v="174.5"/>
    <n v="183.1"/>
    <n v="172.5"/>
    <n v="193.2"/>
    <n v="182"/>
    <n v="180.3"/>
    <n v="181.7"/>
    <s v="NA"/>
    <n v="179.6"/>
    <n v="171.3"/>
    <n v="178.8"/>
    <n v="166.3"/>
    <n v="168.6"/>
    <n v="174.7"/>
    <n v="169.7"/>
    <n v="171.8"/>
    <n v="174.3"/>
    <x v="0"/>
  </r>
  <r>
    <x v="1"/>
    <x v="9"/>
    <x v="6"/>
    <x v="114"/>
    <n v="159.30000000000001"/>
    <n v="217.1"/>
    <n v="176.6"/>
    <n v="167.1"/>
    <n v="184.8"/>
    <n v="179.5"/>
    <n v="208.5"/>
    <n v="164"/>
    <n v="121.5"/>
    <n v="186.3"/>
    <n v="159.80000000000001"/>
    <n v="187.7"/>
    <n v="179.4"/>
    <n v="198.6"/>
    <n v="172.7"/>
    <n v="158.69999999999999"/>
    <n v="170.6"/>
    <n v="167.8"/>
    <n v="179.5"/>
    <n v="163.1"/>
    <n v="171.7"/>
    <n v="157.4"/>
    <n v="164.6"/>
    <n v="169.1"/>
    <n v="169.8"/>
    <n v="164.7"/>
    <n v="172.3"/>
    <x v="0"/>
  </r>
  <r>
    <x v="2"/>
    <x v="9"/>
    <x v="6"/>
    <x v="114"/>
    <n v="156.5"/>
    <n v="213"/>
    <n v="175.2"/>
    <n v="166.6"/>
    <n v="195.8"/>
    <n v="174.2"/>
    <n v="182.1"/>
    <n v="164.3"/>
    <n v="120"/>
    <n v="190"/>
    <n v="168.4"/>
    <n v="185.2"/>
    <n v="175"/>
    <n v="194.6"/>
    <n v="178.3"/>
    <n v="171.3"/>
    <n v="177.3"/>
    <n v="167.8"/>
    <n v="179.6"/>
    <n v="167.4"/>
    <n v="176.1"/>
    <n v="161.6"/>
    <n v="166.3"/>
    <n v="171.4"/>
    <n v="169.7"/>
    <n v="168.4"/>
    <n v="173.4"/>
    <x v="0"/>
  </r>
  <r>
    <x v="0"/>
    <x v="9"/>
    <x v="7"/>
    <x v="115"/>
    <n v="159.5"/>
    <n v="204.1"/>
    <n v="168.3"/>
    <n v="167.9"/>
    <n v="198.1"/>
    <n v="169.2"/>
    <n v="173.1"/>
    <n v="167.1"/>
    <n v="120.2"/>
    <n v="195.6"/>
    <n v="174.8"/>
    <n v="184"/>
    <n v="173.9"/>
    <n v="193.7"/>
    <n v="183.2"/>
    <n v="181.7"/>
    <n v="183"/>
    <s v="NA"/>
    <n v="179.1"/>
    <n v="172.3"/>
    <n v="179.4"/>
    <n v="166.6"/>
    <n v="169.3"/>
    <n v="175.7"/>
    <n v="171.1"/>
    <n v="172.6"/>
    <n v="175.3"/>
    <x v="0"/>
  </r>
  <r>
    <x v="1"/>
    <x v="9"/>
    <x v="7"/>
    <x v="115"/>
    <n v="162.1"/>
    <n v="210.9"/>
    <n v="170.6"/>
    <n v="168.4"/>
    <n v="182.5"/>
    <n v="177.1"/>
    <n v="213.1"/>
    <n v="167.3"/>
    <n v="122.2"/>
    <n v="189.7"/>
    <n v="160.5"/>
    <n v="188.9"/>
    <n v="180.4"/>
    <n v="198.7"/>
    <n v="173.7"/>
    <n v="160"/>
    <n v="171.6"/>
    <n v="169"/>
    <n v="178.4"/>
    <n v="164.2"/>
    <n v="172.6"/>
    <n v="157.69999999999999"/>
    <n v="165.1"/>
    <n v="169.9"/>
    <n v="171.4"/>
    <n v="165.4"/>
    <n v="173.1"/>
    <x v="0"/>
  </r>
  <r>
    <x v="2"/>
    <x v="9"/>
    <x v="7"/>
    <x v="115"/>
    <n v="160.30000000000001"/>
    <n v="206.5"/>
    <n v="169.2"/>
    <n v="168.1"/>
    <n v="192.4"/>
    <n v="172.9"/>
    <n v="186.7"/>
    <n v="167.2"/>
    <n v="120.9"/>
    <n v="193.6"/>
    <n v="168.8"/>
    <n v="186.3"/>
    <n v="176.3"/>
    <n v="195"/>
    <n v="179.5"/>
    <n v="172.7"/>
    <n v="178.5"/>
    <n v="169"/>
    <n v="178.8"/>
    <n v="168.5"/>
    <n v="176.8"/>
    <n v="161.9"/>
    <n v="166.9"/>
    <n v="172.3"/>
    <n v="171.2"/>
    <n v="169.1"/>
    <n v="174.3"/>
    <x v="0"/>
  </r>
  <r>
    <x v="0"/>
    <x v="9"/>
    <x v="8"/>
    <x v="116"/>
    <n v="162.9"/>
    <n v="206.7"/>
    <n v="169"/>
    <n v="169.5"/>
    <n v="194.1"/>
    <n v="164.1"/>
    <n v="176.9"/>
    <n v="169"/>
    <n v="120.8"/>
    <n v="199.1"/>
    <n v="175.4"/>
    <n v="184.8"/>
    <n v="175.5"/>
    <n v="194.5"/>
    <n v="184.7"/>
    <n v="183.3"/>
    <n v="184.5"/>
    <s v="NA"/>
    <n v="179.7"/>
    <n v="173.6"/>
    <n v="180.2"/>
    <n v="166.9"/>
    <n v="170"/>
    <n v="176.2"/>
    <n v="170.8"/>
    <n v="173.1"/>
    <n v="176.4"/>
    <x v="0"/>
  </r>
  <r>
    <x v="1"/>
    <x v="9"/>
    <x v="8"/>
    <x v="116"/>
    <n v="164.9"/>
    <n v="213.7"/>
    <n v="170.9"/>
    <n v="170.1"/>
    <n v="179.3"/>
    <n v="167.5"/>
    <n v="220.8"/>
    <n v="169.2"/>
    <n v="123.1"/>
    <n v="193.6"/>
    <n v="161.1"/>
    <n v="190.4"/>
    <n v="181.8"/>
    <n v="199.7"/>
    <n v="175"/>
    <n v="161.69999999999999"/>
    <n v="173"/>
    <n v="169.5"/>
    <n v="179.2"/>
    <n v="165"/>
    <n v="173.8"/>
    <n v="158.19999999999999"/>
    <n v="165.8"/>
    <n v="170.9"/>
    <n v="171.1"/>
    <n v="166.1"/>
    <n v="174.1"/>
    <x v="0"/>
  </r>
  <r>
    <x v="2"/>
    <x v="9"/>
    <x v="8"/>
    <x v="116"/>
    <n v="163.5"/>
    <n v="209.2"/>
    <n v="169.7"/>
    <n v="169.7"/>
    <n v="188.7"/>
    <n v="165.7"/>
    <n v="191.8"/>
    <n v="169.1"/>
    <n v="121.6"/>
    <n v="197.3"/>
    <n v="169.4"/>
    <n v="187.4"/>
    <n v="177.8"/>
    <n v="195.9"/>
    <n v="180.9"/>
    <n v="174.3"/>
    <n v="179.9"/>
    <n v="169.5"/>
    <n v="179.5"/>
    <n v="169.5"/>
    <n v="177.8"/>
    <n v="162.30000000000001"/>
    <n v="167.6"/>
    <n v="173.1"/>
    <n v="170.9"/>
    <n v="169.7"/>
    <n v="175.3"/>
    <x v="0"/>
  </r>
  <r>
    <x v="0"/>
    <x v="9"/>
    <x v="9"/>
    <x v="117"/>
    <n v="164.7"/>
    <n v="208.8"/>
    <n v="170.3"/>
    <n v="170.9"/>
    <n v="191.6"/>
    <n v="162.19999999999999"/>
    <n v="184.8"/>
    <n v="169.7"/>
    <n v="121.1"/>
    <n v="201.6"/>
    <n v="175.8"/>
    <n v="185.6"/>
    <n v="177.4"/>
    <n v="194.9"/>
    <n v="186.1"/>
    <n v="184.4"/>
    <n v="185.9"/>
    <s v="NA"/>
    <n v="180.8"/>
    <n v="174.4"/>
    <n v="181.2"/>
    <n v="167.4"/>
    <n v="170.6"/>
    <n v="176.5"/>
    <n v="172"/>
    <n v="173.9"/>
    <n v="177.9"/>
    <x v="0"/>
  </r>
  <r>
    <x v="1"/>
    <x v="9"/>
    <x v="9"/>
    <x v="117"/>
    <n v="166.4"/>
    <n v="214.9"/>
    <n v="171.9"/>
    <n v="171"/>
    <n v="177.7"/>
    <n v="165.7"/>
    <n v="228.6"/>
    <n v="169.9"/>
    <n v="123.4"/>
    <n v="196.4"/>
    <n v="161.6"/>
    <n v="191.5"/>
    <n v="183.3"/>
    <n v="200.1"/>
    <n v="175.5"/>
    <n v="162.6"/>
    <n v="173.6"/>
    <n v="171.2"/>
    <n v="180"/>
    <n v="166"/>
    <n v="174.7"/>
    <n v="158.80000000000001"/>
    <n v="166.3"/>
    <n v="171.2"/>
    <n v="172.3"/>
    <n v="166.8"/>
    <n v="175.3"/>
    <x v="0"/>
  </r>
  <r>
    <x v="2"/>
    <x v="9"/>
    <x v="9"/>
    <x v="117"/>
    <n v="165.2"/>
    <n v="210.9"/>
    <n v="170.9"/>
    <n v="170.9"/>
    <n v="186.5"/>
    <n v="163.80000000000001"/>
    <n v="199.7"/>
    <n v="169.8"/>
    <n v="121.9"/>
    <n v="199.9"/>
    <n v="169.9"/>
    <n v="188.3"/>
    <n v="179.6"/>
    <n v="196.3"/>
    <n v="181.9"/>
    <n v="175.3"/>
    <n v="181"/>
    <n v="171.2"/>
    <n v="180.5"/>
    <n v="170.4"/>
    <n v="178.7"/>
    <n v="162.9"/>
    <n v="168.2"/>
    <n v="173.4"/>
    <n v="172.1"/>
    <n v="170.5"/>
    <n v="176.7"/>
    <x v="0"/>
  </r>
  <r>
    <x v="0"/>
    <x v="9"/>
    <x v="11"/>
    <x v="118"/>
    <n v="166.9"/>
    <n v="207.2"/>
    <n v="180.2"/>
    <n v="172.3"/>
    <n v="194"/>
    <n v="159.1"/>
    <n v="171.6"/>
    <n v="170.2"/>
    <n v="121.5"/>
    <n v="204.8"/>
    <n v="176.4"/>
    <n v="186.9"/>
    <n v="176.6"/>
    <n v="195.5"/>
    <n v="187.2"/>
    <n v="185.2"/>
    <n v="186.9"/>
    <s v="NA"/>
    <n v="181.9"/>
    <n v="175.5"/>
    <n v="182.3"/>
    <n v="167.5"/>
    <n v="170.8"/>
    <n v="176.9"/>
    <n v="173.4"/>
    <n v="174.6"/>
    <n v="177.8"/>
    <x v="0"/>
  </r>
  <r>
    <x v="1"/>
    <x v="9"/>
    <x v="11"/>
    <x v="118"/>
    <n v="168.4"/>
    <n v="213.4"/>
    <n v="183.2"/>
    <n v="172.3"/>
    <n v="180"/>
    <n v="162.6"/>
    <n v="205.5"/>
    <n v="171"/>
    <n v="123.4"/>
    <n v="198.8"/>
    <n v="162.1"/>
    <n v="192.4"/>
    <n v="181.3"/>
    <n v="200.6"/>
    <n v="176.7"/>
    <n v="163.5"/>
    <n v="174.7"/>
    <n v="171.8"/>
    <n v="180.3"/>
    <n v="166.9"/>
    <n v="175.8"/>
    <n v="158.9"/>
    <n v="166.7"/>
    <n v="171.5"/>
    <n v="173.8"/>
    <n v="167.4"/>
    <n v="174.1"/>
    <x v="0"/>
  </r>
  <r>
    <x v="2"/>
    <x v="9"/>
    <x v="11"/>
    <x v="118"/>
    <n v="167.4"/>
    <n v="209.4"/>
    <n v="181.4"/>
    <n v="172.3"/>
    <n v="188.9"/>
    <n v="160.69999999999999"/>
    <n v="183.1"/>
    <n v="170.5"/>
    <n v="122.1"/>
    <n v="202.8"/>
    <n v="170.4"/>
    <n v="189.5"/>
    <n v="178.3"/>
    <n v="196.9"/>
    <n v="183.1"/>
    <n v="176.2"/>
    <n v="182.1"/>
    <n v="171.8"/>
    <n v="181.3"/>
    <n v="171.4"/>
    <n v="179.8"/>
    <n v="163"/>
    <n v="168.5"/>
    <n v="173.7"/>
    <n v="173.6"/>
    <n v="171.1"/>
    <n v="176.5"/>
    <x v="0"/>
  </r>
  <r>
    <x v="0"/>
    <x v="9"/>
    <x v="12"/>
    <x v="119"/>
    <n v="168.8"/>
    <n v="206.9"/>
    <n v="189.1"/>
    <n v="173.4"/>
    <n v="193.9"/>
    <n v="156.69999999999999"/>
    <n v="150.19999999999999"/>
    <n v="170.5"/>
    <n v="121.2"/>
    <n v="207.5"/>
    <n v="176.8"/>
    <n v="187.7"/>
    <n v="174.4"/>
    <n v="195.9"/>
    <n v="188.1"/>
    <n v="185.9"/>
    <n v="187.8"/>
    <s v="NA"/>
    <n v="182.8"/>
    <n v="176.4"/>
    <n v="183.5"/>
    <n v="167.8"/>
    <n v="171.2"/>
    <n v="177.3"/>
    <n v="175.7"/>
    <n v="175.5"/>
    <n v="177.1"/>
    <x v="0"/>
  </r>
  <r>
    <x v="1"/>
    <x v="9"/>
    <x v="12"/>
    <x v="119"/>
    <n v="170.2"/>
    <n v="212.9"/>
    <n v="191.9"/>
    <n v="173.9"/>
    <n v="179.1"/>
    <n v="159.5"/>
    <n v="178.7"/>
    <n v="171.3"/>
    <n v="123.1"/>
    <n v="200.5"/>
    <n v="162.80000000000001"/>
    <n v="193.3"/>
    <n v="178.6"/>
    <n v="201.1"/>
    <n v="177.7"/>
    <n v="164.5"/>
    <n v="175.7"/>
    <n v="170.7"/>
    <n v="180.6"/>
    <n v="167.3"/>
    <n v="177.2"/>
    <n v="159.4"/>
    <n v="167.1"/>
    <n v="171.8"/>
    <n v="176"/>
    <n v="168.2"/>
    <n v="174.1"/>
    <x v="0"/>
  </r>
  <r>
    <x v="2"/>
    <x v="9"/>
    <x v="12"/>
    <x v="119"/>
    <n v="169.2"/>
    <n v="209"/>
    <n v="190.2"/>
    <n v="173.6"/>
    <n v="188.5"/>
    <n v="158"/>
    <n v="159.9"/>
    <n v="170.8"/>
    <n v="121.8"/>
    <n v="205.2"/>
    <n v="171"/>
    <n v="190.3"/>
    <n v="175.9"/>
    <n v="197.3"/>
    <n v="184"/>
    <n v="177"/>
    <n v="183"/>
    <n v="170.7"/>
    <n v="182"/>
    <n v="172.1"/>
    <n v="181.1"/>
    <n v="163.4"/>
    <n v="168.9"/>
    <n v="174.1"/>
    <n v="175.8"/>
    <n v="172"/>
    <n v="175.7"/>
    <x v="0"/>
  </r>
  <r>
    <x v="0"/>
    <x v="10"/>
    <x v="0"/>
    <x v="120"/>
    <n v="174"/>
    <n v="208.3"/>
    <n v="192.9"/>
    <n v="174.3"/>
    <n v="192.6"/>
    <n v="156.30000000000001"/>
    <n v="142.9"/>
    <n v="170.7"/>
    <n v="120.3"/>
    <n v="210.5"/>
    <n v="176.9"/>
    <n v="188.5"/>
    <n v="175"/>
    <n v="196.9"/>
    <n v="189"/>
    <n v="186.3"/>
    <n v="188.6"/>
    <s v="NA"/>
    <n v="183.2"/>
    <n v="177.2"/>
    <n v="184.7"/>
    <n v="168.2"/>
    <n v="171.8"/>
    <n v="177.8"/>
    <n v="178.4"/>
    <n v="176.5"/>
    <n v="177.8"/>
    <x v="0"/>
  </r>
  <r>
    <x v="1"/>
    <x v="10"/>
    <x v="0"/>
    <x v="120"/>
    <n v="173.3"/>
    <n v="215.2"/>
    <n v="197"/>
    <n v="175.2"/>
    <n v="178"/>
    <n v="160.5"/>
    <n v="175.3"/>
    <n v="171.2"/>
    <n v="122.7"/>
    <n v="204.3"/>
    <n v="163.69999999999999"/>
    <n v="194.3"/>
    <n v="179.5"/>
    <n v="201.6"/>
    <n v="178.7"/>
    <n v="165.3"/>
    <n v="176.6"/>
    <n v="172.1"/>
    <n v="180.1"/>
    <n v="168"/>
    <n v="178.5"/>
    <n v="159.5"/>
    <n v="167.8"/>
    <n v="171.8"/>
    <n v="178.8"/>
    <n v="168.9"/>
    <n v="174.9"/>
    <x v="0"/>
  </r>
  <r>
    <x v="2"/>
    <x v="10"/>
    <x v="0"/>
    <x v="120"/>
    <n v="173.8"/>
    <n v="210.7"/>
    <n v="194.5"/>
    <n v="174.6"/>
    <n v="187.2"/>
    <n v="158.30000000000001"/>
    <n v="153.9"/>
    <n v="170.9"/>
    <n v="121.1"/>
    <n v="208.4"/>
    <n v="171.4"/>
    <n v="191.2"/>
    <n v="176.7"/>
    <n v="198.2"/>
    <n v="184.9"/>
    <n v="177.6"/>
    <n v="183.8"/>
    <n v="172.1"/>
    <n v="182"/>
    <n v="172.9"/>
    <n v="182.3"/>
    <n v="163.6"/>
    <n v="169.5"/>
    <n v="174.3"/>
    <n v="178.6"/>
    <n v="172.8"/>
    <n v="176.5"/>
    <x v="0"/>
  </r>
  <r>
    <x v="0"/>
    <x v="10"/>
    <x v="1"/>
    <x v="121"/>
    <n v="174.2"/>
    <n v="205.2"/>
    <n v="173.9"/>
    <n v="177"/>
    <n v="183.4"/>
    <n v="167.2"/>
    <n v="140.9"/>
    <n v="170.4"/>
    <n v="119.1"/>
    <n v="212.1"/>
    <n v="177.6"/>
    <n v="189.9"/>
    <n v="174.8"/>
    <n v="198.3"/>
    <n v="190"/>
    <n v="187"/>
    <n v="189.6"/>
    <s v="NA"/>
    <n v="181.6"/>
    <n v="178.6"/>
    <n v="186.6"/>
    <n v="169"/>
    <n v="172.8"/>
    <n v="178.5"/>
    <n v="180.7"/>
    <n v="177.9"/>
    <n v="178"/>
    <x v="0"/>
  </r>
  <r>
    <x v="1"/>
    <x v="10"/>
    <x v="1"/>
    <x v="121"/>
    <n v="174.7"/>
    <n v="212.2"/>
    <n v="177.2"/>
    <n v="177.9"/>
    <n v="172.2"/>
    <n v="172.1"/>
    <n v="175.8"/>
    <n v="172.2"/>
    <n v="121.9"/>
    <n v="204.8"/>
    <n v="164.9"/>
    <n v="196.6"/>
    <n v="180.7"/>
    <n v="202.7"/>
    <n v="180.3"/>
    <n v="167"/>
    <n v="178.2"/>
    <n v="173.5"/>
    <n v="182.8"/>
    <n v="169.2"/>
    <n v="180.8"/>
    <n v="159.80000000000001"/>
    <n v="168.4"/>
    <n v="172.5"/>
    <n v="181.4"/>
    <n v="170"/>
    <n v="176.3"/>
    <x v="0"/>
  </r>
  <r>
    <x v="2"/>
    <x v="10"/>
    <x v="1"/>
    <x v="121"/>
    <n v="174.4"/>
    <n v="207.7"/>
    <n v="175.2"/>
    <n v="177.3"/>
    <n v="179.3"/>
    <n v="169.5"/>
    <n v="152.69999999999999"/>
    <n v="171"/>
    <n v="120"/>
    <n v="209.7"/>
    <n v="172.3"/>
    <n v="193"/>
    <n v="177"/>
    <n v="199.5"/>
    <n v="186.2"/>
    <n v="178.7"/>
    <n v="185.1"/>
    <n v="173.5"/>
    <n v="182.1"/>
    <n v="174.2"/>
    <n v="184.4"/>
    <n v="164.2"/>
    <n v="170.3"/>
    <n v="175"/>
    <n v="181"/>
    <n v="174.1"/>
    <n v="177.2"/>
    <x v="0"/>
  </r>
  <r>
    <x v="0"/>
    <x v="10"/>
    <x v="2"/>
    <x v="122"/>
    <n v="174.3"/>
    <n v="205.2"/>
    <n v="173.9"/>
    <n v="177"/>
    <n v="183.3"/>
    <n v="167.2"/>
    <n v="140.9"/>
    <n v="170.5"/>
    <n v="119.1"/>
    <n v="212.1"/>
    <n v="177.6"/>
    <n v="189.9"/>
    <n v="174.8"/>
    <n v="198.4"/>
    <n v="190"/>
    <n v="187"/>
    <n v="189.6"/>
    <s v="NA"/>
    <n v="181.4"/>
    <n v="178.6"/>
    <n v="186.6"/>
    <n v="169"/>
    <n v="172.8"/>
    <n v="178.5"/>
    <n v="180.7"/>
    <n v="177.9"/>
    <n v="178"/>
    <x v="0"/>
  </r>
  <r>
    <x v="1"/>
    <x v="10"/>
    <x v="2"/>
    <x v="122"/>
    <n v="174.7"/>
    <n v="212.2"/>
    <n v="177.2"/>
    <n v="177.9"/>
    <n v="172.2"/>
    <n v="172.1"/>
    <n v="175.9"/>
    <n v="172.2"/>
    <n v="121.9"/>
    <n v="204.8"/>
    <n v="164.9"/>
    <n v="196.6"/>
    <n v="180.8"/>
    <n v="202.7"/>
    <n v="180.2"/>
    <n v="167"/>
    <n v="178.2"/>
    <n v="173.5"/>
    <n v="182.6"/>
    <n v="169.2"/>
    <n v="180.8"/>
    <n v="159.80000000000001"/>
    <n v="168.4"/>
    <n v="172.5"/>
    <n v="181.5"/>
    <n v="170"/>
    <n v="176.3"/>
    <x v="0"/>
  </r>
  <r>
    <x v="2"/>
    <x v="10"/>
    <x v="2"/>
    <x v="122"/>
    <n v="174.4"/>
    <n v="207.7"/>
    <n v="175.2"/>
    <n v="177.3"/>
    <n v="179.2"/>
    <n v="169.5"/>
    <n v="152.80000000000001"/>
    <n v="171.1"/>
    <n v="120"/>
    <n v="209.7"/>
    <n v="172.3"/>
    <n v="193"/>
    <n v="177"/>
    <n v="199.5"/>
    <n v="186.1"/>
    <n v="178.7"/>
    <n v="185.1"/>
    <n v="173.5"/>
    <n v="181.9"/>
    <n v="174.2"/>
    <n v="184.4"/>
    <n v="164.2"/>
    <n v="170.3"/>
    <n v="175"/>
    <n v="181"/>
    <n v="174.1"/>
    <n v="177.2"/>
    <x v="0"/>
  </r>
  <r>
    <x v="0"/>
    <x v="10"/>
    <x v="3"/>
    <x v="123"/>
    <n v="173.3"/>
    <n v="206.9"/>
    <n v="167.9"/>
    <n v="178.2"/>
    <n v="178.5"/>
    <n v="173.7"/>
    <n v="142.80000000000001"/>
    <n v="172.8"/>
    <n v="120.4"/>
    <n v="215.5"/>
    <n v="178.2"/>
    <n v="190.5"/>
    <n v="175.5"/>
    <n v="199.5"/>
    <n v="190.7"/>
    <n v="187.3"/>
    <n v="190.2"/>
    <s v="-"/>
    <n v="181.5"/>
    <n v="179.1"/>
    <n v="187.2"/>
    <n v="169.4"/>
    <n v="173.2"/>
    <n v="179.4"/>
    <n v="183.8"/>
    <n v="178.9"/>
    <n v="178.8"/>
    <x v="0"/>
  </r>
  <r>
    <x v="1"/>
    <x v="10"/>
    <x v="3"/>
    <x v="123"/>
    <n v="174.8"/>
    <n v="213.7"/>
    <n v="172.4"/>
    <n v="178.8"/>
    <n v="168.7"/>
    <n v="179.2"/>
    <n v="179.9"/>
    <n v="174.7"/>
    <n v="123.1"/>
    <n v="207.8"/>
    <n v="165.5"/>
    <n v="197"/>
    <n v="182.1"/>
    <n v="203.5"/>
    <n v="181"/>
    <n v="167.7"/>
    <n v="178.9"/>
    <n v="175.2"/>
    <n v="182.1"/>
    <n v="169.6"/>
    <n v="181.5"/>
    <n v="160.1"/>
    <n v="168.8"/>
    <n v="174.2"/>
    <n v="184.4"/>
    <n v="170.9"/>
    <n v="177.4"/>
    <x v="0"/>
  </r>
  <r>
    <x v="2"/>
    <x v="10"/>
    <x v="3"/>
    <x v="123"/>
    <n v="173.8"/>
    <n v="209.3"/>
    <n v="169.6"/>
    <n v="178.4"/>
    <n v="174.9"/>
    <n v="176.3"/>
    <n v="155.4"/>
    <n v="173.4"/>
    <n v="121.3"/>
    <n v="212.9"/>
    <n v="172.9"/>
    <n v="193.5"/>
    <n v="177.9"/>
    <n v="200.6"/>
    <n v="186.9"/>
    <n v="179.2"/>
    <n v="185.7"/>
    <n v="175.2"/>
    <n v="181.7"/>
    <n v="174.6"/>
    <n v="185"/>
    <n v="164.5"/>
    <n v="170.7"/>
    <n v="176.4"/>
    <n v="184"/>
    <n v="175"/>
    <n v="178.1"/>
    <x v="0"/>
  </r>
  <r>
    <x v="0"/>
    <x v="10"/>
    <x v="4"/>
    <x v="124"/>
    <n v="173.2"/>
    <n v="211.5"/>
    <n v="171"/>
    <n v="179.6"/>
    <n v="173.3"/>
    <n v="169"/>
    <n v="148.69999999999999"/>
    <n v="174.9"/>
    <n v="121.9"/>
    <n v="221"/>
    <n v="178.7"/>
    <n v="191.1"/>
    <n v="176.8"/>
    <n v="199.9"/>
    <n v="191.2"/>
    <n v="187.9"/>
    <n v="190.8"/>
    <s v="-"/>
    <n v="182.5"/>
    <n v="179.8"/>
    <n v="187.8"/>
    <n v="169.7"/>
    <n v="173.8"/>
    <n v="180.3"/>
    <n v="184.9"/>
    <n v="179.5"/>
    <n v="179.8"/>
    <x v="0"/>
  </r>
  <r>
    <x v="1"/>
    <x v="10"/>
    <x v="4"/>
    <x v="124"/>
    <n v="174.7"/>
    <n v="219.4"/>
    <n v="176.7"/>
    <n v="179.4"/>
    <n v="164.4"/>
    <n v="175.8"/>
    <n v="185"/>
    <n v="176.9"/>
    <n v="124.2"/>
    <n v="211.9"/>
    <n v="165.9"/>
    <n v="197.7"/>
    <n v="183.1"/>
    <n v="204.2"/>
    <n v="181.3"/>
    <n v="168.1"/>
    <n v="179.3"/>
    <n v="175.6"/>
    <n v="183.4"/>
    <n v="170.1"/>
    <n v="182.2"/>
    <n v="160.4"/>
    <n v="169.2"/>
    <n v="174.8"/>
    <n v="185.6"/>
    <n v="171.6"/>
    <n v="178.2"/>
    <x v="0"/>
  </r>
  <r>
    <x v="2"/>
    <x v="10"/>
    <x v="4"/>
    <x v="124"/>
    <n v="173.7"/>
    <n v="214.3"/>
    <n v="173.2"/>
    <n v="179.5"/>
    <n v="170"/>
    <n v="172.2"/>
    <n v="161"/>
    <n v="175.6"/>
    <n v="122.7"/>
    <n v="218"/>
    <n v="173.4"/>
    <n v="194.2"/>
    <n v="179.1"/>
    <n v="201"/>
    <n v="187.3"/>
    <n v="179.7"/>
    <n v="186.2"/>
    <n v="175.6"/>
    <n v="182.8"/>
    <n v="175.2"/>
    <n v="185.7"/>
    <n v="164.8"/>
    <n v="171.2"/>
    <n v="177.1"/>
    <n v="185.2"/>
    <n v="175.7"/>
    <n v="179.1"/>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8DC0DD0-1681-425F-98C0-613A01931A33}"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rowHeaderCaption="Year">
  <location ref="A5:B13" firstHeaderRow="1" firstDataRow="1" firstDataCol="1"/>
  <pivotFields count="5">
    <pivotField numFmtId="164" showAll="0"/>
    <pivotField axis="axisRow" showAll="0">
      <items count="8">
        <item x="0"/>
        <item x="1"/>
        <item x="2"/>
        <item x="3"/>
        <item x="4"/>
        <item x="5"/>
        <item x="6"/>
        <item t="default"/>
      </items>
    </pivotField>
    <pivotField showAll="0"/>
    <pivotField showAll="0"/>
    <pivotField dataField="1" showAll="0"/>
  </pivotFields>
  <rowFields count="1">
    <field x="1"/>
  </rowFields>
  <rowItems count="8">
    <i>
      <x/>
    </i>
    <i>
      <x v="1"/>
    </i>
    <i>
      <x v="2"/>
    </i>
    <i>
      <x v="3"/>
    </i>
    <i>
      <x v="4"/>
    </i>
    <i>
      <x v="5"/>
    </i>
    <i>
      <x v="6"/>
    </i>
    <i t="grand">
      <x/>
    </i>
  </rowItems>
  <colItems count="1">
    <i/>
  </colItems>
  <dataFields count="1">
    <dataField name="Average of YoY Inflation %" fld="4" subtotal="average" baseField="1" baseItem="0"/>
  </dataFields>
  <formats count="2">
    <format dxfId="9">
      <pivotArea collapsedLevelsAreSubtotals="1" fieldPosition="0">
        <references count="1">
          <reference field="1" count="0"/>
        </references>
      </pivotArea>
    </format>
    <format dxfId="8">
      <pivotArea grandRow="1" outline="0" collapsedLevelsAreSubtotals="1" fieldPosition="0"/>
    </format>
  </formats>
  <chartFormats count="2">
    <chartFormat chart="1"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2F3FE0D-A042-40EE-80C3-D8B587BCECEC}" name="PivotTable4"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6:F9" firstHeaderRow="0" firstDataRow="1" firstDataCol="1" rowPageCount="1" colPageCount="1"/>
  <pivotFields count="33">
    <pivotField axis="axisPage" showAll="0">
      <items count="4">
        <item x="0"/>
        <item x="2"/>
        <item x="1"/>
        <item t="default"/>
      </items>
    </pivotField>
    <pivotField showAll="0"/>
    <pivotField showAll="0"/>
    <pivotField numFmtId="164"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dataField="1" showAll="0"/>
    <pivotField dataField="1" showAll="0"/>
    <pivotField dataField="1" showAll="0"/>
    <pivotField dataField="1" showAll="0"/>
    <pivotField showAll="0"/>
    <pivotField showAll="0"/>
    <pivotField showAll="0"/>
    <pivotField showAll="0"/>
    <pivotField showAll="0"/>
    <pivotField axis="axisRow" showAll="0">
      <items count="4">
        <item x="2"/>
        <item x="1"/>
        <item h="1" x="0"/>
        <item t="default"/>
      </items>
    </pivotField>
    <pivotField dragToRow="0" dragToCol="0" dragToPage="0" showAll="0" defaultSubtotal="0"/>
  </pivotFields>
  <rowFields count="1">
    <field x="31"/>
  </rowFields>
  <rowItems count="3">
    <i>
      <x/>
    </i>
    <i>
      <x v="1"/>
    </i>
    <i t="grand">
      <x/>
    </i>
  </rowItems>
  <colFields count="1">
    <field x="-2"/>
  </colFields>
  <colItems count="5">
    <i>
      <x/>
    </i>
    <i i="1">
      <x v="1"/>
    </i>
    <i i="2">
      <x v="2"/>
    </i>
    <i i="3">
      <x v="3"/>
    </i>
    <i i="4">
      <x v="4"/>
    </i>
  </colItems>
  <pageFields count="1">
    <pageField fld="0" item="1" hier="-1"/>
  </pageFields>
  <dataFields count="5">
    <dataField name="Average of Food and beverages" fld="16" subtotal="average" baseField="1" baseItem="0"/>
    <dataField name="Average of Health" fld="24" subtotal="average" baseField="1" baseItem="3"/>
    <dataField name="Average of Household goods and services" fld="23" subtotal="average" baseField="1" baseItem="3"/>
    <dataField name="Average of Fuel and light" fld="22" subtotal="average" baseField="1" baseItem="3"/>
    <dataField name="Average of Transport and communication" fld="25" subtotal="average" baseField="1" baseItem="3"/>
  </dataFields>
  <formats count="8">
    <format dxfId="7">
      <pivotArea collapsedLevelsAreSubtotals="1" fieldPosition="0">
        <references count="2">
          <reference field="4294967294" count="1" selected="0">
            <x v="0"/>
          </reference>
          <reference field="31" count="0"/>
        </references>
      </pivotArea>
    </format>
    <format dxfId="6">
      <pivotArea collapsedLevelsAreSubtotals="1" fieldPosition="0">
        <references count="2">
          <reference field="4294967294" count="4" selected="0">
            <x v="1"/>
            <x v="2"/>
            <x v="3"/>
            <x v="4"/>
          </reference>
          <reference field="31" count="0"/>
        </references>
      </pivotArea>
    </format>
    <format dxfId="5">
      <pivotArea grandRow="1" outline="0" collapsedLevelsAreSubtotals="1" fieldPosition="0"/>
    </format>
    <format dxfId="4">
      <pivotArea dataOnly="0" labelOnly="1" outline="0" fieldPosition="0">
        <references count="1">
          <reference field="4294967294" count="1">
            <x v="4"/>
          </reference>
        </references>
      </pivotArea>
    </format>
    <format dxfId="3">
      <pivotArea dataOnly="0" labelOnly="1" outline="0" fieldPosition="0">
        <references count="1">
          <reference field="4294967294" count="1">
            <x v="0"/>
          </reference>
        </references>
      </pivotArea>
    </format>
    <format dxfId="2">
      <pivotArea dataOnly="0" labelOnly="1" outline="0" fieldPosition="0">
        <references count="1">
          <reference field="4294967294" count="1">
            <x v="1"/>
          </reference>
        </references>
      </pivotArea>
    </format>
    <format dxfId="1">
      <pivotArea dataOnly="0" labelOnly="1" outline="0" fieldPosition="0">
        <references count="1">
          <reference field="4294967294" count="1">
            <x v="2"/>
          </reference>
        </references>
      </pivotArea>
    </format>
    <format dxfId="0">
      <pivotArea dataOnly="0" labelOnly="1" outline="0" fieldPosition="0">
        <references count="1">
          <reference field="4294967294" count="1">
            <x v="3"/>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768DC4AE-A38E-4ACB-BBF6-BF6EEBBB5CC3}" name="PivotTable8" cacheId="1"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AK4:AM21" firstHeaderRow="1" firstDataRow="1" firstDataCol="0"/>
  <pivotFields count="33">
    <pivotField showAll="0">
      <items count="4">
        <item x="0"/>
        <item x="2"/>
        <item x="1"/>
        <item t="default"/>
      </items>
    </pivotField>
    <pivotField showAll="0">
      <items count="12">
        <item x="0"/>
        <item x="1"/>
        <item x="2"/>
        <item x="3"/>
        <item x="4"/>
        <item x="5"/>
        <item x="6"/>
        <item x="7"/>
        <item x="8"/>
        <item x="9"/>
        <item x="10"/>
        <item t="default"/>
      </items>
    </pivotField>
    <pivotField showAll="0">
      <items count="14">
        <item x="0"/>
        <item x="1"/>
        <item x="2"/>
        <item x="3"/>
        <item x="4"/>
        <item x="5"/>
        <item x="6"/>
        <item x="7"/>
        <item x="8"/>
        <item x="9"/>
        <item x="11"/>
        <item x="12"/>
        <item x="10"/>
        <item t="default"/>
      </items>
    </pivotField>
    <pivotField numFmtId="164" showAll="0">
      <items count="126">
        <item x="0"/>
        <item x="1"/>
        <item x="2"/>
        <item x="3"/>
        <item x="4"/>
        <item x="5"/>
        <item x="6"/>
        <item x="7"/>
        <item x="8"/>
        <item x="9"/>
        <item x="11"/>
        <item x="10"/>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ragToRow="0" dragToCol="0" dragToPage="0" showAll="0" defaultSubtotal="0"/>
  </pivotFields>
  <pivotTableStyleInfo name="PivotStyleLight16" showRowHeaders="1" showColHeaders="1" showRowStripes="0" showColStripes="0" showLastColumn="1"/>
  <filters count="1">
    <filter fld="3" type="dateBetween" evalOrder="-1" id="81" name="Date">
      <autoFilter ref="A1">
        <filterColumn colId="0">
          <customFilters and="1">
            <customFilter operator="greaterThanOrEqual" val="44197"/>
            <customFilter operator="lessThanOrEqual" val="45046"/>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94EA95FA-79CD-4D33-B425-8D6E5E3E8E41}" name="CPI_Data" displayName="CPI_Data" ref="A1:AF373" totalsRowShown="0">
  <autoFilter ref="A1:AF373" xr:uid="{94EA95FA-79CD-4D33-B425-8D6E5E3E8E41}">
    <filterColumn colId="3">
      <filters>
        <dateGroupItem year="2023" dateTimeGrouping="year"/>
        <dateGroupItem year="2021" dateTimeGrouping="year"/>
      </filters>
    </filterColumn>
  </autoFilter>
  <tableColumns count="32">
    <tableColumn id="1" xr3:uid="{EB3EADF7-3B8F-49C5-B5F1-4A9E27935D00}" name="Sector"/>
    <tableColumn id="2" xr3:uid="{05195DA6-8276-4568-8541-251BDCA822DD}" name="Year"/>
    <tableColumn id="3" xr3:uid="{458DBD02-7060-40E0-8D41-D6782252BD17}" name="Month" dataDxfId="12"/>
    <tableColumn id="32" xr3:uid="{F6D1046C-88E1-44BE-BFC2-DE535AD88A30}" name="Date" dataDxfId="11">
      <calculatedColumnFormula>DATE(CPI_Data[[#This Row],[Year]],MATCH(CPI_Data[[#This Row],[Month]],{"January","February","March","April","May","June","July","August","September","October","November","December"},0),1)</calculatedColumnFormula>
    </tableColumn>
    <tableColumn id="4" xr3:uid="{22B49C41-B2F3-4E6D-96B0-8473F39F3FA3}" name="Cereals and products"/>
    <tableColumn id="5" xr3:uid="{E58465AF-8AA1-4CB8-9D9F-358A4C665754}" name="Meat and fish"/>
    <tableColumn id="6" xr3:uid="{64F33178-F463-4FA5-A16B-927233F0DBCA}" name="Egg"/>
    <tableColumn id="7" xr3:uid="{D218CA39-A163-429D-8C4A-BE5B1C86167F}" name="Milk and products"/>
    <tableColumn id="8" xr3:uid="{E968F513-AB6F-437A-82E3-1595B693C462}" name="Oils and fats"/>
    <tableColumn id="9" xr3:uid="{18085D05-A80E-43A1-9BBD-EE994221F29D}" name="Fruits"/>
    <tableColumn id="10" xr3:uid="{35A42D2E-E1EE-4F87-914C-992EB58EFDC1}" name="Vegetables"/>
    <tableColumn id="11" xr3:uid="{2782704C-31BC-4FEA-A322-997A02F9515B}" name="Pulses and products"/>
    <tableColumn id="12" xr3:uid="{2CB3FDB3-C492-4C1C-A511-37F9F611B628}" name="Sugar and Confectionery"/>
    <tableColumn id="13" xr3:uid="{9B43AE95-9B21-49F4-9911-7F431983FF8F}" name="Spices"/>
    <tableColumn id="14" xr3:uid="{9ACFEA94-C1FF-45BC-8587-FF01608749CB}" name="Non-alcoholic beverages"/>
    <tableColumn id="15" xr3:uid="{CF40DDFA-E8C1-49E6-90B7-DB7DF2257A57}" name="Prepared meals, snacks, sweets etc."/>
    <tableColumn id="16" xr3:uid="{D2D3900B-3DE6-427C-90BA-35C8F6208C27}" name="Food and beverages"/>
    <tableColumn id="17" xr3:uid="{9EDE9ADF-4087-4516-9F2A-618AF31489E2}" name="Pan, tobacco and intoxicants"/>
    <tableColumn id="18" xr3:uid="{0BC7036D-A81E-4690-B041-3E145B4113C3}" name="Clothing"/>
    <tableColumn id="19" xr3:uid="{EE37F3D9-34BA-462B-9EBB-74E6F694CD3C}" name="Footwear"/>
    <tableColumn id="20" xr3:uid="{81660733-4AEC-47B6-B25B-C8EF20E3EAD9}" name="Clothing and footwear"/>
    <tableColumn id="21" xr3:uid="{BBCC7B66-886F-4F3E-A6A6-48F6D1AA3484}" name="Housing"/>
    <tableColumn id="22" xr3:uid="{F7FB103B-0497-4752-8C6E-6FCB9FDB4793}" name="Fuel and light"/>
    <tableColumn id="23" xr3:uid="{8B045272-B43B-4B42-8368-5ABF8D04A0EE}" name="Household goods and services"/>
    <tableColumn id="24" xr3:uid="{320B8E07-2A9D-47F3-B096-3AD9045F1DCF}" name="Health"/>
    <tableColumn id="25" xr3:uid="{EE990E0B-F073-4DA7-A045-A4EB3D29B537}" name="Transport and communication"/>
    <tableColumn id="26" xr3:uid="{4167B3CF-8291-4B58-B173-1AC88A17AB7F}" name="Recreation and amusement"/>
    <tableColumn id="27" xr3:uid="{194D7DD8-F209-4BE2-B2D6-6CFBD00985C1}" name="Education"/>
    <tableColumn id="28" xr3:uid="{F772E6DF-3853-4C70-92A8-51D1606B7767}" name="Personal care and effects"/>
    <tableColumn id="29" xr3:uid="{C697F687-4D93-42DE-8F57-8AE68A8B3488}" name="Miscellaneous"/>
    <tableColumn id="30" xr3:uid="{D3A89D67-0967-4D59-A95B-86655A01E501}" name="General index"/>
    <tableColumn id="33" xr3:uid="{32B4421D-A220-4E2D-B5E7-250E4EAE131C}" name="COVID Period" dataDxfId="10">
      <calculatedColumnFormula>IF(AND(CPI_Data[[#This Row],[Date]]&gt;=DATE(2019,3,1),CPI_Data[[#This Row],[Date]]&lt;DATE(2020,3,1)),"Pre-COVID",IF(AND(CPI_Data[[#This Row],[Date]]&gt;=DATE(2020,3,1),CPI_Data[[#This Row],[Date]]&lt;DATE(2021,3,1)),"Post-COVID",""))</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1.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2.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A697E6-DA1F-4A8D-9D79-E9BBB5CA1510}">
  <dimension ref="A1:AD373"/>
  <sheetViews>
    <sheetView workbookViewId="0">
      <selection activeCell="I12" sqref="I12"/>
    </sheetView>
  </sheetViews>
  <sheetFormatPr defaultRowHeight="15" x14ac:dyDescent="0.25"/>
  <cols>
    <col min="8" max="8" width="12.140625" bestFit="1" customWidth="1"/>
  </cols>
  <sheetData>
    <row r="1" spans="1:30"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row>
    <row r="2" spans="1:30" x14ac:dyDescent="0.25">
      <c r="A2" t="s">
        <v>30</v>
      </c>
      <c r="B2">
        <v>2013</v>
      </c>
      <c r="C2" t="s">
        <v>31</v>
      </c>
      <c r="D2">
        <v>107.5</v>
      </c>
      <c r="E2">
        <v>106.3</v>
      </c>
      <c r="F2">
        <v>108.1</v>
      </c>
      <c r="G2">
        <v>104.9</v>
      </c>
      <c r="H2">
        <v>106.1</v>
      </c>
      <c r="I2">
        <v>103.9</v>
      </c>
      <c r="J2">
        <v>101.9</v>
      </c>
      <c r="K2">
        <v>106.1</v>
      </c>
      <c r="L2">
        <v>106.8</v>
      </c>
      <c r="M2">
        <v>103.1</v>
      </c>
      <c r="N2">
        <v>104.8</v>
      </c>
      <c r="O2">
        <v>106.7</v>
      </c>
      <c r="P2">
        <v>105.5</v>
      </c>
      <c r="Q2">
        <v>105.1</v>
      </c>
      <c r="R2">
        <v>106.5</v>
      </c>
      <c r="S2">
        <v>105.8</v>
      </c>
      <c r="T2">
        <v>106.4</v>
      </c>
      <c r="U2" t="s">
        <v>32</v>
      </c>
      <c r="V2">
        <v>105.5</v>
      </c>
      <c r="W2">
        <v>104.8</v>
      </c>
      <c r="X2">
        <v>104</v>
      </c>
      <c r="Y2">
        <v>103.3</v>
      </c>
      <c r="Z2">
        <v>103.4</v>
      </c>
      <c r="AA2">
        <v>103.8</v>
      </c>
      <c r="AB2">
        <v>104.7</v>
      </c>
      <c r="AC2">
        <v>104</v>
      </c>
      <c r="AD2">
        <v>105.1</v>
      </c>
    </row>
    <row r="3" spans="1:30" x14ac:dyDescent="0.25">
      <c r="A3" t="s">
        <v>33</v>
      </c>
      <c r="B3">
        <v>2013</v>
      </c>
      <c r="C3" t="s">
        <v>31</v>
      </c>
      <c r="D3">
        <v>110.5</v>
      </c>
      <c r="E3">
        <v>109.1</v>
      </c>
      <c r="F3">
        <v>113</v>
      </c>
      <c r="G3">
        <v>103.6</v>
      </c>
      <c r="H3">
        <v>103.4</v>
      </c>
      <c r="I3">
        <v>102.3</v>
      </c>
      <c r="J3">
        <v>102.9</v>
      </c>
      <c r="K3">
        <v>105.8</v>
      </c>
      <c r="L3">
        <v>105.1</v>
      </c>
      <c r="M3">
        <v>101.8</v>
      </c>
      <c r="N3">
        <v>105.1</v>
      </c>
      <c r="O3">
        <v>107.9</v>
      </c>
      <c r="P3">
        <v>105.9</v>
      </c>
      <c r="Q3">
        <v>105.2</v>
      </c>
      <c r="R3">
        <v>105.9</v>
      </c>
      <c r="S3">
        <v>105</v>
      </c>
      <c r="T3">
        <v>105.8</v>
      </c>
      <c r="U3">
        <v>100.3</v>
      </c>
      <c r="V3">
        <v>105.4</v>
      </c>
      <c r="W3">
        <v>104.8</v>
      </c>
      <c r="X3">
        <v>104.1</v>
      </c>
      <c r="Y3">
        <v>103.2</v>
      </c>
      <c r="Z3">
        <v>102.9</v>
      </c>
      <c r="AA3">
        <v>103.5</v>
      </c>
      <c r="AB3">
        <v>104.3</v>
      </c>
      <c r="AC3">
        <v>103.7</v>
      </c>
      <c r="AD3">
        <v>104</v>
      </c>
    </row>
    <row r="4" spans="1:30" x14ac:dyDescent="0.25">
      <c r="A4" t="s">
        <v>34</v>
      </c>
      <c r="B4">
        <v>2013</v>
      </c>
      <c r="C4" t="s">
        <v>31</v>
      </c>
      <c r="D4">
        <v>108.4</v>
      </c>
      <c r="E4">
        <v>107.3</v>
      </c>
      <c r="F4">
        <v>110</v>
      </c>
      <c r="G4">
        <v>104.4</v>
      </c>
      <c r="H4">
        <v>105.1</v>
      </c>
      <c r="I4">
        <v>103.2</v>
      </c>
      <c r="J4">
        <v>102.2</v>
      </c>
      <c r="K4">
        <v>106</v>
      </c>
      <c r="L4">
        <v>106.2</v>
      </c>
      <c r="M4">
        <v>102.7</v>
      </c>
      <c r="N4">
        <v>104.9</v>
      </c>
      <c r="O4">
        <v>107.3</v>
      </c>
      <c r="P4">
        <v>105.6</v>
      </c>
      <c r="Q4">
        <v>105.1</v>
      </c>
      <c r="R4">
        <v>106.3</v>
      </c>
      <c r="S4">
        <v>105.5</v>
      </c>
      <c r="T4">
        <v>106.2</v>
      </c>
      <c r="U4">
        <v>100.3</v>
      </c>
      <c r="V4">
        <v>105.5</v>
      </c>
      <c r="W4">
        <v>104.8</v>
      </c>
      <c r="X4">
        <v>104</v>
      </c>
      <c r="Y4">
        <v>103.2</v>
      </c>
      <c r="Z4">
        <v>103.1</v>
      </c>
      <c r="AA4">
        <v>103.6</v>
      </c>
      <c r="AB4">
        <v>104.5</v>
      </c>
      <c r="AC4">
        <v>103.9</v>
      </c>
      <c r="AD4">
        <v>104.6</v>
      </c>
    </row>
    <row r="5" spans="1:30" x14ac:dyDescent="0.25">
      <c r="A5" t="s">
        <v>30</v>
      </c>
      <c r="B5">
        <v>2013</v>
      </c>
      <c r="C5" t="s">
        <v>35</v>
      </c>
      <c r="D5">
        <v>109.2</v>
      </c>
      <c r="E5">
        <v>108.7</v>
      </c>
      <c r="F5">
        <v>110.2</v>
      </c>
      <c r="G5">
        <v>105.4</v>
      </c>
      <c r="H5">
        <v>106.7</v>
      </c>
      <c r="I5">
        <v>104</v>
      </c>
      <c r="J5">
        <v>102.4</v>
      </c>
      <c r="K5">
        <v>105.9</v>
      </c>
      <c r="L5">
        <v>105.7</v>
      </c>
      <c r="M5">
        <v>103.1</v>
      </c>
      <c r="N5">
        <v>105.1</v>
      </c>
      <c r="O5">
        <v>107.7</v>
      </c>
      <c r="P5">
        <v>106.3</v>
      </c>
      <c r="Q5">
        <v>105.6</v>
      </c>
      <c r="R5">
        <v>107.1</v>
      </c>
      <c r="S5">
        <v>106.3</v>
      </c>
      <c r="T5">
        <v>107</v>
      </c>
      <c r="U5" t="s">
        <v>32</v>
      </c>
      <c r="V5">
        <v>106.2</v>
      </c>
      <c r="W5">
        <v>105.2</v>
      </c>
      <c r="X5">
        <v>104.4</v>
      </c>
      <c r="Y5">
        <v>103.9</v>
      </c>
      <c r="Z5">
        <v>104</v>
      </c>
      <c r="AA5">
        <v>104.1</v>
      </c>
      <c r="AB5">
        <v>104.6</v>
      </c>
      <c r="AC5">
        <v>104.4</v>
      </c>
      <c r="AD5">
        <v>105.8</v>
      </c>
    </row>
    <row r="6" spans="1:30" x14ac:dyDescent="0.25">
      <c r="A6" t="s">
        <v>33</v>
      </c>
      <c r="B6">
        <v>2013</v>
      </c>
      <c r="C6" t="s">
        <v>35</v>
      </c>
      <c r="D6">
        <v>112.9</v>
      </c>
      <c r="E6">
        <v>112.9</v>
      </c>
      <c r="F6">
        <v>116.9</v>
      </c>
      <c r="G6">
        <v>104</v>
      </c>
      <c r="H6">
        <v>103.5</v>
      </c>
      <c r="I6">
        <v>103.1</v>
      </c>
      <c r="J6">
        <v>104.9</v>
      </c>
      <c r="K6">
        <v>104.1</v>
      </c>
      <c r="L6">
        <v>103.8</v>
      </c>
      <c r="M6">
        <v>102.3</v>
      </c>
      <c r="N6">
        <v>106</v>
      </c>
      <c r="O6">
        <v>109</v>
      </c>
      <c r="P6">
        <v>107.2</v>
      </c>
      <c r="Q6">
        <v>106</v>
      </c>
      <c r="R6">
        <v>106.6</v>
      </c>
      <c r="S6">
        <v>105.5</v>
      </c>
      <c r="T6">
        <v>106.4</v>
      </c>
      <c r="U6">
        <v>100.4</v>
      </c>
      <c r="V6">
        <v>105.7</v>
      </c>
      <c r="W6">
        <v>105.2</v>
      </c>
      <c r="X6">
        <v>104.7</v>
      </c>
      <c r="Y6">
        <v>104.4</v>
      </c>
      <c r="Z6">
        <v>103.3</v>
      </c>
      <c r="AA6">
        <v>103.7</v>
      </c>
      <c r="AB6">
        <v>104.3</v>
      </c>
      <c r="AC6">
        <v>104.3</v>
      </c>
      <c r="AD6">
        <v>104.7</v>
      </c>
    </row>
    <row r="7" spans="1:30" x14ac:dyDescent="0.25">
      <c r="A7" t="s">
        <v>34</v>
      </c>
      <c r="B7">
        <v>2013</v>
      </c>
      <c r="C7" t="s">
        <v>35</v>
      </c>
      <c r="D7">
        <v>110.4</v>
      </c>
      <c r="E7">
        <v>110.2</v>
      </c>
      <c r="F7">
        <v>112.8</v>
      </c>
      <c r="G7">
        <v>104.9</v>
      </c>
      <c r="H7">
        <v>105.5</v>
      </c>
      <c r="I7">
        <v>103.6</v>
      </c>
      <c r="J7">
        <v>103.2</v>
      </c>
      <c r="K7">
        <v>105.3</v>
      </c>
      <c r="L7">
        <v>105.1</v>
      </c>
      <c r="M7">
        <v>102.8</v>
      </c>
      <c r="N7">
        <v>105.5</v>
      </c>
      <c r="O7">
        <v>108.3</v>
      </c>
      <c r="P7">
        <v>106.6</v>
      </c>
      <c r="Q7">
        <v>105.7</v>
      </c>
      <c r="R7">
        <v>106.9</v>
      </c>
      <c r="S7">
        <v>106</v>
      </c>
      <c r="T7">
        <v>106.8</v>
      </c>
      <c r="U7">
        <v>100.4</v>
      </c>
      <c r="V7">
        <v>106</v>
      </c>
      <c r="W7">
        <v>105.2</v>
      </c>
      <c r="X7">
        <v>104.5</v>
      </c>
      <c r="Y7">
        <v>104.2</v>
      </c>
      <c r="Z7">
        <v>103.6</v>
      </c>
      <c r="AA7">
        <v>103.9</v>
      </c>
      <c r="AB7">
        <v>104.5</v>
      </c>
      <c r="AC7">
        <v>104.4</v>
      </c>
      <c r="AD7">
        <v>105.3</v>
      </c>
    </row>
    <row r="8" spans="1:30" x14ac:dyDescent="0.25">
      <c r="A8" t="s">
        <v>30</v>
      </c>
      <c r="B8">
        <v>2013</v>
      </c>
      <c r="C8" t="s">
        <v>36</v>
      </c>
      <c r="D8">
        <v>110.2</v>
      </c>
      <c r="E8">
        <v>108.8</v>
      </c>
      <c r="F8">
        <v>109.9</v>
      </c>
      <c r="G8">
        <v>105.6</v>
      </c>
      <c r="H8">
        <v>106.2</v>
      </c>
      <c r="I8">
        <v>105.7</v>
      </c>
      <c r="J8">
        <v>101.4</v>
      </c>
      <c r="K8">
        <v>105.7</v>
      </c>
      <c r="L8">
        <v>105</v>
      </c>
      <c r="M8">
        <v>103.3</v>
      </c>
      <c r="N8">
        <v>105.6</v>
      </c>
      <c r="O8">
        <v>108.2</v>
      </c>
      <c r="P8">
        <v>106.6</v>
      </c>
      <c r="Q8">
        <v>106.5</v>
      </c>
      <c r="R8">
        <v>107.6</v>
      </c>
      <c r="S8">
        <v>106.8</v>
      </c>
      <c r="T8">
        <v>107.5</v>
      </c>
      <c r="U8" t="s">
        <v>32</v>
      </c>
      <c r="V8">
        <v>106.1</v>
      </c>
      <c r="W8">
        <v>105.6</v>
      </c>
      <c r="X8">
        <v>104.7</v>
      </c>
      <c r="Y8">
        <v>104.6</v>
      </c>
      <c r="Z8">
        <v>104</v>
      </c>
      <c r="AA8">
        <v>104.3</v>
      </c>
      <c r="AB8">
        <v>104.3</v>
      </c>
      <c r="AC8">
        <v>104.6</v>
      </c>
      <c r="AD8">
        <v>106</v>
      </c>
    </row>
    <row r="9" spans="1:30" x14ac:dyDescent="0.25">
      <c r="A9" t="s">
        <v>33</v>
      </c>
      <c r="B9">
        <v>2013</v>
      </c>
      <c r="C9" t="s">
        <v>36</v>
      </c>
      <c r="D9">
        <v>113.9</v>
      </c>
      <c r="E9">
        <v>111.4</v>
      </c>
      <c r="F9">
        <v>113.2</v>
      </c>
      <c r="G9">
        <v>104.3</v>
      </c>
      <c r="H9">
        <v>102.7</v>
      </c>
      <c r="I9">
        <v>104.9</v>
      </c>
      <c r="J9">
        <v>103.8</v>
      </c>
      <c r="K9">
        <v>103.5</v>
      </c>
      <c r="L9">
        <v>102.6</v>
      </c>
      <c r="M9">
        <v>102.4</v>
      </c>
      <c r="N9">
        <v>107</v>
      </c>
      <c r="O9">
        <v>109.8</v>
      </c>
      <c r="P9">
        <v>107.3</v>
      </c>
      <c r="Q9">
        <v>106.8</v>
      </c>
      <c r="R9">
        <v>107.2</v>
      </c>
      <c r="S9">
        <v>106</v>
      </c>
      <c r="T9">
        <v>107</v>
      </c>
      <c r="U9">
        <v>100.4</v>
      </c>
      <c r="V9">
        <v>106</v>
      </c>
      <c r="W9">
        <v>105.7</v>
      </c>
      <c r="X9">
        <v>105.2</v>
      </c>
      <c r="Y9">
        <v>105.5</v>
      </c>
      <c r="Z9">
        <v>103.5</v>
      </c>
      <c r="AA9">
        <v>103.8</v>
      </c>
      <c r="AB9">
        <v>104.2</v>
      </c>
      <c r="AC9">
        <v>104.9</v>
      </c>
      <c r="AD9">
        <v>105</v>
      </c>
    </row>
    <row r="10" spans="1:30" x14ac:dyDescent="0.25">
      <c r="A10" t="s">
        <v>34</v>
      </c>
      <c r="B10">
        <v>2013</v>
      </c>
      <c r="C10" t="s">
        <v>36</v>
      </c>
      <c r="D10">
        <v>111.4</v>
      </c>
      <c r="E10">
        <v>109.7</v>
      </c>
      <c r="F10">
        <v>111.2</v>
      </c>
      <c r="G10">
        <v>105.1</v>
      </c>
      <c r="H10">
        <v>104.9</v>
      </c>
      <c r="I10">
        <v>105.3</v>
      </c>
      <c r="J10">
        <v>102.2</v>
      </c>
      <c r="K10">
        <v>105</v>
      </c>
      <c r="L10">
        <v>104.2</v>
      </c>
      <c r="M10">
        <v>103</v>
      </c>
      <c r="N10">
        <v>106.2</v>
      </c>
      <c r="O10">
        <v>108.9</v>
      </c>
      <c r="P10">
        <v>106.9</v>
      </c>
      <c r="Q10">
        <v>106.6</v>
      </c>
      <c r="R10">
        <v>107.4</v>
      </c>
      <c r="S10">
        <v>106.5</v>
      </c>
      <c r="T10">
        <v>107.3</v>
      </c>
      <c r="U10">
        <v>100.4</v>
      </c>
      <c r="V10">
        <v>106.1</v>
      </c>
      <c r="W10">
        <v>105.6</v>
      </c>
      <c r="X10">
        <v>104.9</v>
      </c>
      <c r="Y10">
        <v>105.1</v>
      </c>
      <c r="Z10">
        <v>103.7</v>
      </c>
      <c r="AA10">
        <v>104</v>
      </c>
      <c r="AB10">
        <v>104.3</v>
      </c>
      <c r="AC10">
        <v>104.7</v>
      </c>
      <c r="AD10">
        <v>105.5</v>
      </c>
    </row>
    <row r="11" spans="1:30" x14ac:dyDescent="0.25">
      <c r="A11" t="s">
        <v>30</v>
      </c>
      <c r="B11">
        <v>2013</v>
      </c>
      <c r="C11" t="s">
        <v>37</v>
      </c>
      <c r="D11">
        <v>110.2</v>
      </c>
      <c r="E11">
        <v>109.5</v>
      </c>
      <c r="F11">
        <v>106.9</v>
      </c>
      <c r="G11">
        <v>106.3</v>
      </c>
      <c r="H11">
        <v>105.7</v>
      </c>
      <c r="I11">
        <v>108.3</v>
      </c>
      <c r="J11">
        <v>103.4</v>
      </c>
      <c r="K11">
        <v>105.7</v>
      </c>
      <c r="L11">
        <v>104.2</v>
      </c>
      <c r="M11">
        <v>103.2</v>
      </c>
      <c r="N11">
        <v>106.5</v>
      </c>
      <c r="O11">
        <v>108.8</v>
      </c>
      <c r="P11">
        <v>107.1</v>
      </c>
      <c r="Q11">
        <v>107.1</v>
      </c>
      <c r="R11">
        <v>108.1</v>
      </c>
      <c r="S11">
        <v>107.4</v>
      </c>
      <c r="T11">
        <v>108</v>
      </c>
      <c r="U11" t="s">
        <v>32</v>
      </c>
      <c r="V11">
        <v>106.5</v>
      </c>
      <c r="W11">
        <v>106.1</v>
      </c>
      <c r="X11">
        <v>105.1</v>
      </c>
      <c r="Y11">
        <v>104.4</v>
      </c>
      <c r="Z11">
        <v>104.5</v>
      </c>
      <c r="AA11">
        <v>104.8</v>
      </c>
      <c r="AB11">
        <v>102.7</v>
      </c>
      <c r="AC11">
        <v>104.6</v>
      </c>
      <c r="AD11">
        <v>106.4</v>
      </c>
    </row>
    <row r="12" spans="1:30" x14ac:dyDescent="0.25">
      <c r="A12" t="s">
        <v>33</v>
      </c>
      <c r="B12">
        <v>2013</v>
      </c>
      <c r="C12" t="s">
        <v>37</v>
      </c>
      <c r="D12">
        <v>114.6</v>
      </c>
      <c r="E12">
        <v>113.4</v>
      </c>
      <c r="F12">
        <v>106</v>
      </c>
      <c r="G12">
        <v>104.7</v>
      </c>
      <c r="H12">
        <v>102.1</v>
      </c>
      <c r="I12">
        <v>109.5</v>
      </c>
      <c r="J12">
        <v>109.7</v>
      </c>
      <c r="K12">
        <v>104.6</v>
      </c>
      <c r="L12">
        <v>102</v>
      </c>
      <c r="M12">
        <v>103.5</v>
      </c>
      <c r="N12">
        <v>108.2</v>
      </c>
      <c r="O12">
        <v>110.6</v>
      </c>
      <c r="P12">
        <v>108.8</v>
      </c>
      <c r="Q12">
        <v>108.5</v>
      </c>
      <c r="R12">
        <v>107.9</v>
      </c>
      <c r="S12">
        <v>106.4</v>
      </c>
      <c r="T12">
        <v>107.7</v>
      </c>
      <c r="U12">
        <v>100.5</v>
      </c>
      <c r="V12">
        <v>106.4</v>
      </c>
      <c r="W12">
        <v>106.5</v>
      </c>
      <c r="X12">
        <v>105.7</v>
      </c>
      <c r="Y12">
        <v>105</v>
      </c>
      <c r="Z12">
        <v>104</v>
      </c>
      <c r="AA12">
        <v>105.2</v>
      </c>
      <c r="AB12">
        <v>103.2</v>
      </c>
      <c r="AC12">
        <v>105.1</v>
      </c>
      <c r="AD12">
        <v>105.7</v>
      </c>
    </row>
    <row r="13" spans="1:30" x14ac:dyDescent="0.25">
      <c r="A13" t="s">
        <v>34</v>
      </c>
      <c r="B13">
        <v>2013</v>
      </c>
      <c r="C13" t="s">
        <v>37</v>
      </c>
      <c r="D13">
        <v>111.6</v>
      </c>
      <c r="E13">
        <v>110.9</v>
      </c>
      <c r="F13">
        <v>106.6</v>
      </c>
      <c r="G13">
        <v>105.7</v>
      </c>
      <c r="H13">
        <v>104.4</v>
      </c>
      <c r="I13">
        <v>108.9</v>
      </c>
      <c r="J13">
        <v>105.5</v>
      </c>
      <c r="K13">
        <v>105.3</v>
      </c>
      <c r="L13">
        <v>103.5</v>
      </c>
      <c r="M13">
        <v>103.3</v>
      </c>
      <c r="N13">
        <v>107.2</v>
      </c>
      <c r="O13">
        <v>109.6</v>
      </c>
      <c r="P13">
        <v>107.7</v>
      </c>
      <c r="Q13">
        <v>107.5</v>
      </c>
      <c r="R13">
        <v>108</v>
      </c>
      <c r="S13">
        <v>107</v>
      </c>
      <c r="T13">
        <v>107.9</v>
      </c>
      <c r="U13">
        <v>100.5</v>
      </c>
      <c r="V13">
        <v>106.5</v>
      </c>
      <c r="W13">
        <v>106.3</v>
      </c>
      <c r="X13">
        <v>105.3</v>
      </c>
      <c r="Y13">
        <v>104.7</v>
      </c>
      <c r="Z13">
        <v>104.2</v>
      </c>
      <c r="AA13">
        <v>105</v>
      </c>
      <c r="AB13">
        <v>102.9</v>
      </c>
      <c r="AC13">
        <v>104.8</v>
      </c>
      <c r="AD13">
        <v>106.1</v>
      </c>
    </row>
    <row r="14" spans="1:30" x14ac:dyDescent="0.25">
      <c r="A14" t="s">
        <v>30</v>
      </c>
      <c r="B14">
        <v>2013</v>
      </c>
      <c r="C14" t="s">
        <v>38</v>
      </c>
      <c r="D14">
        <v>110.9</v>
      </c>
      <c r="E14">
        <v>109.8</v>
      </c>
      <c r="F14">
        <v>105.9</v>
      </c>
      <c r="G14">
        <v>107.5</v>
      </c>
      <c r="H14">
        <v>105.3</v>
      </c>
      <c r="I14">
        <v>108.1</v>
      </c>
      <c r="J14">
        <v>107.3</v>
      </c>
      <c r="K14">
        <v>106.1</v>
      </c>
      <c r="L14">
        <v>103.7</v>
      </c>
      <c r="M14">
        <v>104</v>
      </c>
      <c r="N14">
        <v>107.4</v>
      </c>
      <c r="O14">
        <v>109.9</v>
      </c>
      <c r="P14">
        <v>108.1</v>
      </c>
      <c r="Q14">
        <v>108.1</v>
      </c>
      <c r="R14">
        <v>108.8</v>
      </c>
      <c r="S14">
        <v>107.9</v>
      </c>
      <c r="T14">
        <v>108.6</v>
      </c>
      <c r="U14" t="s">
        <v>32</v>
      </c>
      <c r="V14">
        <v>107.5</v>
      </c>
      <c r="W14">
        <v>106.8</v>
      </c>
      <c r="X14">
        <v>105.7</v>
      </c>
      <c r="Y14">
        <v>104.1</v>
      </c>
      <c r="Z14">
        <v>105</v>
      </c>
      <c r="AA14">
        <v>105.5</v>
      </c>
      <c r="AB14">
        <v>102.1</v>
      </c>
      <c r="AC14">
        <v>104.8</v>
      </c>
      <c r="AD14">
        <v>107.2</v>
      </c>
    </row>
    <row r="15" spans="1:30" x14ac:dyDescent="0.25">
      <c r="A15" t="s">
        <v>33</v>
      </c>
      <c r="B15">
        <v>2013</v>
      </c>
      <c r="C15" t="s">
        <v>38</v>
      </c>
      <c r="D15">
        <v>115.4</v>
      </c>
      <c r="E15">
        <v>114.2</v>
      </c>
      <c r="F15">
        <v>102.7</v>
      </c>
      <c r="G15">
        <v>105.5</v>
      </c>
      <c r="H15">
        <v>101.5</v>
      </c>
      <c r="I15">
        <v>110.6</v>
      </c>
      <c r="J15">
        <v>123.7</v>
      </c>
      <c r="K15">
        <v>105.2</v>
      </c>
      <c r="L15">
        <v>101.9</v>
      </c>
      <c r="M15">
        <v>105</v>
      </c>
      <c r="N15">
        <v>109.1</v>
      </c>
      <c r="O15">
        <v>111.3</v>
      </c>
      <c r="P15">
        <v>111.1</v>
      </c>
      <c r="Q15">
        <v>109.8</v>
      </c>
      <c r="R15">
        <v>108.5</v>
      </c>
      <c r="S15">
        <v>106.7</v>
      </c>
      <c r="T15">
        <v>108.3</v>
      </c>
      <c r="U15">
        <v>100.5</v>
      </c>
      <c r="V15">
        <v>107.2</v>
      </c>
      <c r="W15">
        <v>107.1</v>
      </c>
      <c r="X15">
        <v>106.2</v>
      </c>
      <c r="Y15">
        <v>103.9</v>
      </c>
      <c r="Z15">
        <v>104.6</v>
      </c>
      <c r="AA15">
        <v>105.7</v>
      </c>
      <c r="AB15">
        <v>102.6</v>
      </c>
      <c r="AC15">
        <v>104.9</v>
      </c>
      <c r="AD15">
        <v>106.6</v>
      </c>
    </row>
    <row r="16" spans="1:30" x14ac:dyDescent="0.25">
      <c r="A16" t="s">
        <v>34</v>
      </c>
      <c r="B16">
        <v>2013</v>
      </c>
      <c r="C16" t="s">
        <v>38</v>
      </c>
      <c r="D16">
        <v>112.3</v>
      </c>
      <c r="E16">
        <v>111.3</v>
      </c>
      <c r="F16">
        <v>104.7</v>
      </c>
      <c r="G16">
        <v>106.8</v>
      </c>
      <c r="H16">
        <v>103.9</v>
      </c>
      <c r="I16">
        <v>109.3</v>
      </c>
      <c r="J16">
        <v>112.9</v>
      </c>
      <c r="K16">
        <v>105.8</v>
      </c>
      <c r="L16">
        <v>103.1</v>
      </c>
      <c r="M16">
        <v>104.3</v>
      </c>
      <c r="N16">
        <v>108.1</v>
      </c>
      <c r="O16">
        <v>110.5</v>
      </c>
      <c r="P16">
        <v>109.2</v>
      </c>
      <c r="Q16">
        <v>108.6</v>
      </c>
      <c r="R16">
        <v>108.7</v>
      </c>
      <c r="S16">
        <v>107.4</v>
      </c>
      <c r="T16">
        <v>108.5</v>
      </c>
      <c r="U16">
        <v>100.5</v>
      </c>
      <c r="V16">
        <v>107.4</v>
      </c>
      <c r="W16">
        <v>106.9</v>
      </c>
      <c r="X16">
        <v>105.9</v>
      </c>
      <c r="Y16">
        <v>104</v>
      </c>
      <c r="Z16">
        <v>104.8</v>
      </c>
      <c r="AA16">
        <v>105.6</v>
      </c>
      <c r="AB16">
        <v>102.3</v>
      </c>
      <c r="AC16">
        <v>104.8</v>
      </c>
      <c r="AD16">
        <v>106.9</v>
      </c>
    </row>
    <row r="17" spans="1:30" x14ac:dyDescent="0.25">
      <c r="A17" t="s">
        <v>30</v>
      </c>
      <c r="B17">
        <v>2013</v>
      </c>
      <c r="C17" t="s">
        <v>39</v>
      </c>
      <c r="D17">
        <v>112.3</v>
      </c>
      <c r="E17">
        <v>112.1</v>
      </c>
      <c r="F17">
        <v>108.1</v>
      </c>
      <c r="G17">
        <v>108.3</v>
      </c>
      <c r="H17">
        <v>105.9</v>
      </c>
      <c r="I17">
        <v>109.2</v>
      </c>
      <c r="J17">
        <v>118</v>
      </c>
      <c r="K17">
        <v>106.8</v>
      </c>
      <c r="L17">
        <v>104.1</v>
      </c>
      <c r="M17">
        <v>105.4</v>
      </c>
      <c r="N17">
        <v>108.2</v>
      </c>
      <c r="O17">
        <v>111</v>
      </c>
      <c r="P17">
        <v>110.6</v>
      </c>
      <c r="Q17">
        <v>109</v>
      </c>
      <c r="R17">
        <v>109.7</v>
      </c>
      <c r="S17">
        <v>108.8</v>
      </c>
      <c r="T17">
        <v>109.5</v>
      </c>
      <c r="U17" t="s">
        <v>32</v>
      </c>
      <c r="V17">
        <v>108.5</v>
      </c>
      <c r="W17">
        <v>107.5</v>
      </c>
      <c r="X17">
        <v>106.3</v>
      </c>
      <c r="Y17">
        <v>105</v>
      </c>
      <c r="Z17">
        <v>105.6</v>
      </c>
      <c r="AA17">
        <v>106.5</v>
      </c>
      <c r="AB17">
        <v>102.5</v>
      </c>
      <c r="AC17">
        <v>105.5</v>
      </c>
      <c r="AD17">
        <v>108.9</v>
      </c>
    </row>
    <row r="18" spans="1:30" x14ac:dyDescent="0.25">
      <c r="A18" t="s">
        <v>33</v>
      </c>
      <c r="B18">
        <v>2013</v>
      </c>
      <c r="C18" t="s">
        <v>39</v>
      </c>
      <c r="D18">
        <v>117</v>
      </c>
      <c r="E18">
        <v>120.1</v>
      </c>
      <c r="F18">
        <v>112.5</v>
      </c>
      <c r="G18">
        <v>107.3</v>
      </c>
      <c r="H18">
        <v>101.3</v>
      </c>
      <c r="I18">
        <v>112.4</v>
      </c>
      <c r="J18">
        <v>143.6</v>
      </c>
      <c r="K18">
        <v>105.4</v>
      </c>
      <c r="L18">
        <v>101.4</v>
      </c>
      <c r="M18">
        <v>106.4</v>
      </c>
      <c r="N18">
        <v>110</v>
      </c>
      <c r="O18">
        <v>112.2</v>
      </c>
      <c r="P18">
        <v>115</v>
      </c>
      <c r="Q18">
        <v>110.9</v>
      </c>
      <c r="R18">
        <v>109.2</v>
      </c>
      <c r="S18">
        <v>107.2</v>
      </c>
      <c r="T18">
        <v>108.9</v>
      </c>
      <c r="U18">
        <v>106.6</v>
      </c>
      <c r="V18">
        <v>108</v>
      </c>
      <c r="W18">
        <v>107.7</v>
      </c>
      <c r="X18">
        <v>106.5</v>
      </c>
      <c r="Y18">
        <v>105.2</v>
      </c>
      <c r="Z18">
        <v>105.2</v>
      </c>
      <c r="AA18">
        <v>108.1</v>
      </c>
      <c r="AB18">
        <v>103.3</v>
      </c>
      <c r="AC18">
        <v>106.1</v>
      </c>
      <c r="AD18">
        <v>109.7</v>
      </c>
    </row>
    <row r="19" spans="1:30" x14ac:dyDescent="0.25">
      <c r="A19" t="s">
        <v>34</v>
      </c>
      <c r="B19">
        <v>2013</v>
      </c>
      <c r="C19" t="s">
        <v>39</v>
      </c>
      <c r="D19">
        <v>113.8</v>
      </c>
      <c r="E19">
        <v>114.9</v>
      </c>
      <c r="F19">
        <v>109.8</v>
      </c>
      <c r="G19">
        <v>107.9</v>
      </c>
      <c r="H19">
        <v>104.2</v>
      </c>
      <c r="I19">
        <v>110.7</v>
      </c>
      <c r="J19">
        <v>126.7</v>
      </c>
      <c r="K19">
        <v>106.3</v>
      </c>
      <c r="L19">
        <v>103.2</v>
      </c>
      <c r="M19">
        <v>105.7</v>
      </c>
      <c r="N19">
        <v>109</v>
      </c>
      <c r="O19">
        <v>111.6</v>
      </c>
      <c r="P19">
        <v>112.2</v>
      </c>
      <c r="Q19">
        <v>109.5</v>
      </c>
      <c r="R19">
        <v>109.5</v>
      </c>
      <c r="S19">
        <v>108.1</v>
      </c>
      <c r="T19">
        <v>109.3</v>
      </c>
      <c r="U19">
        <v>106.6</v>
      </c>
      <c r="V19">
        <v>108.3</v>
      </c>
      <c r="W19">
        <v>107.6</v>
      </c>
      <c r="X19">
        <v>106.4</v>
      </c>
      <c r="Y19">
        <v>105.1</v>
      </c>
      <c r="Z19">
        <v>105.4</v>
      </c>
      <c r="AA19">
        <v>107.4</v>
      </c>
      <c r="AB19">
        <v>102.8</v>
      </c>
      <c r="AC19">
        <v>105.8</v>
      </c>
      <c r="AD19">
        <v>109.3</v>
      </c>
    </row>
    <row r="20" spans="1:30" x14ac:dyDescent="0.25">
      <c r="A20" t="s">
        <v>30</v>
      </c>
      <c r="B20">
        <v>2013</v>
      </c>
      <c r="C20" t="s">
        <v>40</v>
      </c>
      <c r="D20">
        <v>113.4</v>
      </c>
      <c r="E20">
        <v>114.9</v>
      </c>
      <c r="F20">
        <v>110.5</v>
      </c>
      <c r="G20">
        <v>109.3</v>
      </c>
      <c r="H20">
        <v>106.2</v>
      </c>
      <c r="I20">
        <v>110.3</v>
      </c>
      <c r="J20">
        <v>129.19999999999999</v>
      </c>
      <c r="K20">
        <v>107.1</v>
      </c>
      <c r="L20">
        <v>104.3</v>
      </c>
      <c r="M20">
        <v>106.4</v>
      </c>
      <c r="N20">
        <v>109.1</v>
      </c>
      <c r="O20">
        <v>112.1</v>
      </c>
      <c r="P20">
        <v>113.1</v>
      </c>
      <c r="Q20">
        <v>109.8</v>
      </c>
      <c r="R20">
        <v>110.5</v>
      </c>
      <c r="S20">
        <v>109.5</v>
      </c>
      <c r="T20">
        <v>110.3</v>
      </c>
      <c r="U20" t="s">
        <v>32</v>
      </c>
      <c r="V20">
        <v>109.5</v>
      </c>
      <c r="W20">
        <v>108.3</v>
      </c>
      <c r="X20">
        <v>106.9</v>
      </c>
      <c r="Y20">
        <v>106.8</v>
      </c>
      <c r="Z20">
        <v>106.4</v>
      </c>
      <c r="AA20">
        <v>107.8</v>
      </c>
      <c r="AB20">
        <v>102.5</v>
      </c>
      <c r="AC20">
        <v>106.5</v>
      </c>
      <c r="AD20">
        <v>110.7</v>
      </c>
    </row>
    <row r="21" spans="1:30" x14ac:dyDescent="0.25">
      <c r="A21" t="s">
        <v>33</v>
      </c>
      <c r="B21">
        <v>2013</v>
      </c>
      <c r="C21" t="s">
        <v>40</v>
      </c>
      <c r="D21">
        <v>117.8</v>
      </c>
      <c r="E21">
        <v>119.2</v>
      </c>
      <c r="F21">
        <v>114</v>
      </c>
      <c r="G21">
        <v>108.3</v>
      </c>
      <c r="H21">
        <v>101.1</v>
      </c>
      <c r="I21">
        <v>113.2</v>
      </c>
      <c r="J21">
        <v>160.9</v>
      </c>
      <c r="K21">
        <v>105.1</v>
      </c>
      <c r="L21">
        <v>101.3</v>
      </c>
      <c r="M21">
        <v>107.5</v>
      </c>
      <c r="N21">
        <v>110.4</v>
      </c>
      <c r="O21">
        <v>113.1</v>
      </c>
      <c r="P21">
        <v>117.5</v>
      </c>
      <c r="Q21">
        <v>111.7</v>
      </c>
      <c r="R21">
        <v>109.8</v>
      </c>
      <c r="S21">
        <v>107.8</v>
      </c>
      <c r="T21">
        <v>109.5</v>
      </c>
      <c r="U21">
        <v>107.7</v>
      </c>
      <c r="V21">
        <v>108.6</v>
      </c>
      <c r="W21">
        <v>108.1</v>
      </c>
      <c r="X21">
        <v>107.1</v>
      </c>
      <c r="Y21">
        <v>107.3</v>
      </c>
      <c r="Z21">
        <v>105.9</v>
      </c>
      <c r="AA21">
        <v>110.1</v>
      </c>
      <c r="AB21">
        <v>103.2</v>
      </c>
      <c r="AC21">
        <v>107.3</v>
      </c>
      <c r="AD21">
        <v>111.4</v>
      </c>
    </row>
    <row r="22" spans="1:30" x14ac:dyDescent="0.25">
      <c r="A22" t="s">
        <v>34</v>
      </c>
      <c r="B22">
        <v>2013</v>
      </c>
      <c r="C22" t="s">
        <v>40</v>
      </c>
      <c r="D22">
        <v>114.8</v>
      </c>
      <c r="E22">
        <v>116.4</v>
      </c>
      <c r="F22">
        <v>111.9</v>
      </c>
      <c r="G22">
        <v>108.9</v>
      </c>
      <c r="H22">
        <v>104.3</v>
      </c>
      <c r="I22">
        <v>111.7</v>
      </c>
      <c r="J22">
        <v>140</v>
      </c>
      <c r="K22">
        <v>106.4</v>
      </c>
      <c r="L22">
        <v>103.3</v>
      </c>
      <c r="M22">
        <v>106.8</v>
      </c>
      <c r="N22">
        <v>109.6</v>
      </c>
      <c r="O22">
        <v>112.6</v>
      </c>
      <c r="P22">
        <v>114.7</v>
      </c>
      <c r="Q22">
        <v>110.3</v>
      </c>
      <c r="R22">
        <v>110.2</v>
      </c>
      <c r="S22">
        <v>108.8</v>
      </c>
      <c r="T22">
        <v>110</v>
      </c>
      <c r="U22">
        <v>107.7</v>
      </c>
      <c r="V22">
        <v>109.2</v>
      </c>
      <c r="W22">
        <v>108.2</v>
      </c>
      <c r="X22">
        <v>107</v>
      </c>
      <c r="Y22">
        <v>107.1</v>
      </c>
      <c r="Z22">
        <v>106.1</v>
      </c>
      <c r="AA22">
        <v>109.1</v>
      </c>
      <c r="AB22">
        <v>102.8</v>
      </c>
      <c r="AC22">
        <v>106.9</v>
      </c>
      <c r="AD22">
        <v>111</v>
      </c>
    </row>
    <row r="23" spans="1:30" x14ac:dyDescent="0.25">
      <c r="A23" t="s">
        <v>30</v>
      </c>
      <c r="B23">
        <v>2013</v>
      </c>
      <c r="C23" t="s">
        <v>41</v>
      </c>
      <c r="D23">
        <v>114.3</v>
      </c>
      <c r="E23">
        <v>115.4</v>
      </c>
      <c r="F23">
        <v>111.1</v>
      </c>
      <c r="G23">
        <v>110</v>
      </c>
      <c r="H23">
        <v>106.4</v>
      </c>
      <c r="I23">
        <v>110.8</v>
      </c>
      <c r="J23">
        <v>138.9</v>
      </c>
      <c r="K23">
        <v>107.4</v>
      </c>
      <c r="L23">
        <v>104.1</v>
      </c>
      <c r="M23">
        <v>106.9</v>
      </c>
      <c r="N23">
        <v>109.7</v>
      </c>
      <c r="O23">
        <v>112.6</v>
      </c>
      <c r="P23">
        <v>114.9</v>
      </c>
      <c r="Q23">
        <v>110.7</v>
      </c>
      <c r="R23">
        <v>111.3</v>
      </c>
      <c r="S23">
        <v>110.2</v>
      </c>
      <c r="T23">
        <v>111.1</v>
      </c>
      <c r="U23" t="s">
        <v>32</v>
      </c>
      <c r="V23">
        <v>109.9</v>
      </c>
      <c r="W23">
        <v>108.7</v>
      </c>
      <c r="X23">
        <v>107.5</v>
      </c>
      <c r="Y23">
        <v>107.8</v>
      </c>
      <c r="Z23">
        <v>106.8</v>
      </c>
      <c r="AA23">
        <v>108.7</v>
      </c>
      <c r="AB23">
        <v>105</v>
      </c>
      <c r="AC23">
        <v>107.5</v>
      </c>
      <c r="AD23">
        <v>112.1</v>
      </c>
    </row>
    <row r="24" spans="1:30" x14ac:dyDescent="0.25">
      <c r="A24" t="s">
        <v>33</v>
      </c>
      <c r="B24">
        <v>2013</v>
      </c>
      <c r="C24" t="s">
        <v>41</v>
      </c>
      <c r="D24">
        <v>118.3</v>
      </c>
      <c r="E24">
        <v>120.4</v>
      </c>
      <c r="F24">
        <v>112.7</v>
      </c>
      <c r="G24">
        <v>108.9</v>
      </c>
      <c r="H24">
        <v>101.1</v>
      </c>
      <c r="I24">
        <v>108.7</v>
      </c>
      <c r="J24">
        <v>177</v>
      </c>
      <c r="K24">
        <v>104.7</v>
      </c>
      <c r="L24">
        <v>101</v>
      </c>
      <c r="M24">
        <v>108.5</v>
      </c>
      <c r="N24">
        <v>110.9</v>
      </c>
      <c r="O24">
        <v>114.3</v>
      </c>
      <c r="P24">
        <v>119.6</v>
      </c>
      <c r="Q24">
        <v>112.4</v>
      </c>
      <c r="R24">
        <v>110.6</v>
      </c>
      <c r="S24">
        <v>108.3</v>
      </c>
      <c r="T24">
        <v>110.2</v>
      </c>
      <c r="U24">
        <v>108.9</v>
      </c>
      <c r="V24">
        <v>109.3</v>
      </c>
      <c r="W24">
        <v>108.7</v>
      </c>
      <c r="X24">
        <v>107.6</v>
      </c>
      <c r="Y24">
        <v>108.1</v>
      </c>
      <c r="Z24">
        <v>106.5</v>
      </c>
      <c r="AA24">
        <v>110.8</v>
      </c>
      <c r="AB24">
        <v>106</v>
      </c>
      <c r="AC24">
        <v>108.3</v>
      </c>
      <c r="AD24">
        <v>112.7</v>
      </c>
    </row>
    <row r="25" spans="1:30" x14ac:dyDescent="0.25">
      <c r="A25" t="s">
        <v>34</v>
      </c>
      <c r="B25">
        <v>2013</v>
      </c>
      <c r="C25" t="s">
        <v>41</v>
      </c>
      <c r="D25">
        <v>115.6</v>
      </c>
      <c r="E25">
        <v>117.2</v>
      </c>
      <c r="F25">
        <v>111.7</v>
      </c>
      <c r="G25">
        <v>109.6</v>
      </c>
      <c r="H25">
        <v>104.5</v>
      </c>
      <c r="I25">
        <v>109.8</v>
      </c>
      <c r="J25">
        <v>151.80000000000001</v>
      </c>
      <c r="K25">
        <v>106.5</v>
      </c>
      <c r="L25">
        <v>103.1</v>
      </c>
      <c r="M25">
        <v>107.4</v>
      </c>
      <c r="N25">
        <v>110.2</v>
      </c>
      <c r="O25">
        <v>113.4</v>
      </c>
      <c r="P25">
        <v>116.6</v>
      </c>
      <c r="Q25">
        <v>111.2</v>
      </c>
      <c r="R25">
        <v>111</v>
      </c>
      <c r="S25">
        <v>109.4</v>
      </c>
      <c r="T25">
        <v>110.7</v>
      </c>
      <c r="U25">
        <v>108.9</v>
      </c>
      <c r="V25">
        <v>109.7</v>
      </c>
      <c r="W25">
        <v>108.7</v>
      </c>
      <c r="X25">
        <v>107.5</v>
      </c>
      <c r="Y25">
        <v>108</v>
      </c>
      <c r="Z25">
        <v>106.6</v>
      </c>
      <c r="AA25">
        <v>109.9</v>
      </c>
      <c r="AB25">
        <v>105.4</v>
      </c>
      <c r="AC25">
        <v>107.9</v>
      </c>
      <c r="AD25">
        <v>112.4</v>
      </c>
    </row>
    <row r="26" spans="1:30" x14ac:dyDescent="0.25">
      <c r="A26" t="s">
        <v>30</v>
      </c>
      <c r="B26">
        <v>2013</v>
      </c>
      <c r="C26" t="s">
        <v>42</v>
      </c>
      <c r="D26">
        <v>115.4</v>
      </c>
      <c r="E26">
        <v>115.7</v>
      </c>
      <c r="F26">
        <v>111.7</v>
      </c>
      <c r="G26">
        <v>111</v>
      </c>
      <c r="H26">
        <v>107.4</v>
      </c>
      <c r="I26">
        <v>110.9</v>
      </c>
      <c r="J26">
        <v>154</v>
      </c>
      <c r="K26">
        <v>108.1</v>
      </c>
      <c r="L26">
        <v>104.2</v>
      </c>
      <c r="M26">
        <v>107.9</v>
      </c>
      <c r="N26">
        <v>110.4</v>
      </c>
      <c r="O26">
        <v>114</v>
      </c>
      <c r="P26">
        <v>117.8</v>
      </c>
      <c r="Q26">
        <v>111.7</v>
      </c>
      <c r="R26">
        <v>112.7</v>
      </c>
      <c r="S26">
        <v>111.4</v>
      </c>
      <c r="T26">
        <v>112.5</v>
      </c>
      <c r="U26" t="s">
        <v>32</v>
      </c>
      <c r="V26">
        <v>111.1</v>
      </c>
      <c r="W26">
        <v>109.6</v>
      </c>
      <c r="X26">
        <v>108.3</v>
      </c>
      <c r="Y26">
        <v>109.3</v>
      </c>
      <c r="Z26">
        <v>107.7</v>
      </c>
      <c r="AA26">
        <v>109.8</v>
      </c>
      <c r="AB26">
        <v>106.7</v>
      </c>
      <c r="AC26">
        <v>108.7</v>
      </c>
      <c r="AD26">
        <v>114.2</v>
      </c>
    </row>
    <row r="27" spans="1:30" x14ac:dyDescent="0.25">
      <c r="A27" t="s">
        <v>33</v>
      </c>
      <c r="B27">
        <v>2013</v>
      </c>
      <c r="C27" t="s">
        <v>42</v>
      </c>
      <c r="D27">
        <v>118.6</v>
      </c>
      <c r="E27">
        <v>119.1</v>
      </c>
      <c r="F27">
        <v>113.2</v>
      </c>
      <c r="G27">
        <v>109.6</v>
      </c>
      <c r="H27">
        <v>101.7</v>
      </c>
      <c r="I27">
        <v>103.2</v>
      </c>
      <c r="J27">
        <v>174.3</v>
      </c>
      <c r="K27">
        <v>105.1</v>
      </c>
      <c r="L27">
        <v>100.8</v>
      </c>
      <c r="M27">
        <v>109.1</v>
      </c>
      <c r="N27">
        <v>111.1</v>
      </c>
      <c r="O27">
        <v>115.4</v>
      </c>
      <c r="P27">
        <v>119.2</v>
      </c>
      <c r="Q27">
        <v>112.9</v>
      </c>
      <c r="R27">
        <v>111.4</v>
      </c>
      <c r="S27">
        <v>109</v>
      </c>
      <c r="T27">
        <v>111.1</v>
      </c>
      <c r="U27">
        <v>109.7</v>
      </c>
      <c r="V27">
        <v>109.5</v>
      </c>
      <c r="W27">
        <v>109.6</v>
      </c>
      <c r="X27">
        <v>107.9</v>
      </c>
      <c r="Y27">
        <v>110.4</v>
      </c>
      <c r="Z27">
        <v>107.4</v>
      </c>
      <c r="AA27">
        <v>111.2</v>
      </c>
      <c r="AB27">
        <v>106.9</v>
      </c>
      <c r="AC27">
        <v>109.4</v>
      </c>
      <c r="AD27">
        <v>113.2</v>
      </c>
    </row>
    <row r="28" spans="1:30" x14ac:dyDescent="0.25">
      <c r="A28" t="s">
        <v>34</v>
      </c>
      <c r="B28">
        <v>2013</v>
      </c>
      <c r="C28" t="s">
        <v>42</v>
      </c>
      <c r="D28">
        <v>116.4</v>
      </c>
      <c r="E28">
        <v>116.9</v>
      </c>
      <c r="F28">
        <v>112.3</v>
      </c>
      <c r="G28">
        <v>110.5</v>
      </c>
      <c r="H28">
        <v>105.3</v>
      </c>
      <c r="I28">
        <v>107.3</v>
      </c>
      <c r="J28">
        <v>160.9</v>
      </c>
      <c r="K28">
        <v>107.1</v>
      </c>
      <c r="L28">
        <v>103.1</v>
      </c>
      <c r="M28">
        <v>108.3</v>
      </c>
      <c r="N28">
        <v>110.7</v>
      </c>
      <c r="O28">
        <v>114.6</v>
      </c>
      <c r="P28">
        <v>118.3</v>
      </c>
      <c r="Q28">
        <v>112</v>
      </c>
      <c r="R28">
        <v>112.2</v>
      </c>
      <c r="S28">
        <v>110.4</v>
      </c>
      <c r="T28">
        <v>111.9</v>
      </c>
      <c r="U28">
        <v>109.7</v>
      </c>
      <c r="V28">
        <v>110.5</v>
      </c>
      <c r="W28">
        <v>109.6</v>
      </c>
      <c r="X28">
        <v>108.1</v>
      </c>
      <c r="Y28">
        <v>109.9</v>
      </c>
      <c r="Z28">
        <v>107.5</v>
      </c>
      <c r="AA28">
        <v>110.6</v>
      </c>
      <c r="AB28">
        <v>106.8</v>
      </c>
      <c r="AC28">
        <v>109</v>
      </c>
      <c r="AD28">
        <v>113.7</v>
      </c>
    </row>
    <row r="29" spans="1:30" x14ac:dyDescent="0.25">
      <c r="A29" t="s">
        <v>30</v>
      </c>
      <c r="B29">
        <v>2013</v>
      </c>
      <c r="C29" t="s">
        <v>43</v>
      </c>
      <c r="D29">
        <v>116.3</v>
      </c>
      <c r="E29">
        <v>115.4</v>
      </c>
      <c r="F29">
        <v>112.6</v>
      </c>
      <c r="G29">
        <v>111.7</v>
      </c>
      <c r="H29">
        <v>107.7</v>
      </c>
      <c r="I29">
        <v>113.2</v>
      </c>
      <c r="J29">
        <v>164.9</v>
      </c>
      <c r="K29">
        <v>108.3</v>
      </c>
      <c r="L29">
        <v>103.9</v>
      </c>
      <c r="M29">
        <v>108.2</v>
      </c>
      <c r="N29">
        <v>111.1</v>
      </c>
      <c r="O29">
        <v>114.9</v>
      </c>
      <c r="P29">
        <v>119.8</v>
      </c>
      <c r="Q29">
        <v>112.2</v>
      </c>
      <c r="R29">
        <v>113.6</v>
      </c>
      <c r="S29">
        <v>112.3</v>
      </c>
      <c r="T29">
        <v>113.4</v>
      </c>
      <c r="U29" t="s">
        <v>32</v>
      </c>
      <c r="V29">
        <v>111.6</v>
      </c>
      <c r="W29">
        <v>110.4</v>
      </c>
      <c r="X29">
        <v>108.9</v>
      </c>
      <c r="Y29">
        <v>109.3</v>
      </c>
      <c r="Z29">
        <v>108.3</v>
      </c>
      <c r="AA29">
        <v>110.2</v>
      </c>
      <c r="AB29">
        <v>107.5</v>
      </c>
      <c r="AC29">
        <v>109.1</v>
      </c>
      <c r="AD29">
        <v>115.5</v>
      </c>
    </row>
    <row r="30" spans="1:30" x14ac:dyDescent="0.25">
      <c r="A30" t="s">
        <v>33</v>
      </c>
      <c r="B30">
        <v>2013</v>
      </c>
      <c r="C30" t="s">
        <v>43</v>
      </c>
      <c r="D30">
        <v>118.9</v>
      </c>
      <c r="E30">
        <v>118.1</v>
      </c>
      <c r="F30">
        <v>114.5</v>
      </c>
      <c r="G30">
        <v>110.4</v>
      </c>
      <c r="H30">
        <v>102.3</v>
      </c>
      <c r="I30">
        <v>106.2</v>
      </c>
      <c r="J30">
        <v>183.5</v>
      </c>
      <c r="K30">
        <v>105.3</v>
      </c>
      <c r="L30">
        <v>100.2</v>
      </c>
      <c r="M30">
        <v>109.6</v>
      </c>
      <c r="N30">
        <v>111.4</v>
      </c>
      <c r="O30">
        <v>116</v>
      </c>
      <c r="P30">
        <v>120.8</v>
      </c>
      <c r="Q30">
        <v>113.5</v>
      </c>
      <c r="R30">
        <v>112.5</v>
      </c>
      <c r="S30">
        <v>109.7</v>
      </c>
      <c r="T30">
        <v>112</v>
      </c>
      <c r="U30">
        <v>110.5</v>
      </c>
      <c r="V30">
        <v>109.7</v>
      </c>
      <c r="W30">
        <v>110.2</v>
      </c>
      <c r="X30">
        <v>108.2</v>
      </c>
      <c r="Y30">
        <v>109.7</v>
      </c>
      <c r="Z30">
        <v>108</v>
      </c>
      <c r="AA30">
        <v>111.3</v>
      </c>
      <c r="AB30">
        <v>107.3</v>
      </c>
      <c r="AC30">
        <v>109.4</v>
      </c>
      <c r="AD30">
        <v>114</v>
      </c>
    </row>
    <row r="31" spans="1:30" x14ac:dyDescent="0.25">
      <c r="A31" t="s">
        <v>34</v>
      </c>
      <c r="B31">
        <v>2013</v>
      </c>
      <c r="C31" t="s">
        <v>43</v>
      </c>
      <c r="D31">
        <v>117.1</v>
      </c>
      <c r="E31">
        <v>116.3</v>
      </c>
      <c r="F31">
        <v>113.3</v>
      </c>
      <c r="G31">
        <v>111.2</v>
      </c>
      <c r="H31">
        <v>105.7</v>
      </c>
      <c r="I31">
        <v>109.9</v>
      </c>
      <c r="J31">
        <v>171.2</v>
      </c>
      <c r="K31">
        <v>107.3</v>
      </c>
      <c r="L31">
        <v>102.7</v>
      </c>
      <c r="M31">
        <v>108.7</v>
      </c>
      <c r="N31">
        <v>111.2</v>
      </c>
      <c r="O31">
        <v>115.4</v>
      </c>
      <c r="P31">
        <v>120.2</v>
      </c>
      <c r="Q31">
        <v>112.5</v>
      </c>
      <c r="R31">
        <v>113.2</v>
      </c>
      <c r="S31">
        <v>111.2</v>
      </c>
      <c r="T31">
        <v>112.8</v>
      </c>
      <c r="U31">
        <v>110.5</v>
      </c>
      <c r="V31">
        <v>110.9</v>
      </c>
      <c r="W31">
        <v>110.3</v>
      </c>
      <c r="X31">
        <v>108.6</v>
      </c>
      <c r="Y31">
        <v>109.5</v>
      </c>
      <c r="Z31">
        <v>108.1</v>
      </c>
      <c r="AA31">
        <v>110.8</v>
      </c>
      <c r="AB31">
        <v>107.4</v>
      </c>
      <c r="AC31">
        <v>109.2</v>
      </c>
      <c r="AD31">
        <v>114.8</v>
      </c>
    </row>
    <row r="32" spans="1:30" x14ac:dyDescent="0.25">
      <c r="A32" t="s">
        <v>30</v>
      </c>
      <c r="B32">
        <v>2013</v>
      </c>
      <c r="C32" t="s">
        <v>44</v>
      </c>
      <c r="D32">
        <v>117.3</v>
      </c>
      <c r="E32">
        <v>114.9</v>
      </c>
      <c r="F32">
        <v>116.2</v>
      </c>
      <c r="G32">
        <v>112.8</v>
      </c>
      <c r="H32">
        <v>108.9</v>
      </c>
      <c r="I32">
        <v>116.6</v>
      </c>
      <c r="J32">
        <v>178.1</v>
      </c>
      <c r="K32">
        <v>109.1</v>
      </c>
      <c r="L32">
        <v>103.6</v>
      </c>
      <c r="M32">
        <v>109</v>
      </c>
      <c r="N32">
        <v>111.8</v>
      </c>
      <c r="O32">
        <v>116</v>
      </c>
      <c r="P32">
        <v>122.5</v>
      </c>
      <c r="Q32">
        <v>112.8</v>
      </c>
      <c r="R32">
        <v>114.6</v>
      </c>
      <c r="S32">
        <v>113.1</v>
      </c>
      <c r="T32">
        <v>114.4</v>
      </c>
      <c r="U32" t="s">
        <v>32</v>
      </c>
      <c r="V32">
        <v>112.6</v>
      </c>
      <c r="W32">
        <v>111.3</v>
      </c>
      <c r="X32">
        <v>109.7</v>
      </c>
      <c r="Y32">
        <v>109.6</v>
      </c>
      <c r="Z32">
        <v>108.7</v>
      </c>
      <c r="AA32">
        <v>111</v>
      </c>
      <c r="AB32">
        <v>108.2</v>
      </c>
      <c r="AC32">
        <v>109.8</v>
      </c>
      <c r="AD32">
        <v>117.4</v>
      </c>
    </row>
    <row r="33" spans="1:30" x14ac:dyDescent="0.25">
      <c r="A33" t="s">
        <v>33</v>
      </c>
      <c r="B33">
        <v>2013</v>
      </c>
      <c r="C33" t="s">
        <v>45</v>
      </c>
      <c r="D33">
        <v>119.8</v>
      </c>
      <c r="E33">
        <v>116.3</v>
      </c>
      <c r="F33">
        <v>122.6</v>
      </c>
      <c r="G33">
        <v>112</v>
      </c>
      <c r="H33">
        <v>103.2</v>
      </c>
      <c r="I33">
        <v>110</v>
      </c>
      <c r="J33">
        <v>192.8</v>
      </c>
      <c r="K33">
        <v>106.3</v>
      </c>
      <c r="L33">
        <v>99.5</v>
      </c>
      <c r="M33">
        <v>110.3</v>
      </c>
      <c r="N33">
        <v>111.8</v>
      </c>
      <c r="O33">
        <v>117.1</v>
      </c>
      <c r="P33">
        <v>122.9</v>
      </c>
      <c r="Q33">
        <v>114.1</v>
      </c>
      <c r="R33">
        <v>113.5</v>
      </c>
      <c r="S33">
        <v>110.3</v>
      </c>
      <c r="T33">
        <v>113</v>
      </c>
      <c r="U33">
        <v>111.1</v>
      </c>
      <c r="V33">
        <v>110</v>
      </c>
      <c r="W33">
        <v>110.9</v>
      </c>
      <c r="X33">
        <v>108.6</v>
      </c>
      <c r="Y33">
        <v>109.5</v>
      </c>
      <c r="Z33">
        <v>108.5</v>
      </c>
      <c r="AA33">
        <v>111.3</v>
      </c>
      <c r="AB33">
        <v>107.9</v>
      </c>
      <c r="AC33">
        <v>109.6</v>
      </c>
      <c r="AD33">
        <v>115</v>
      </c>
    </row>
    <row r="34" spans="1:30" x14ac:dyDescent="0.25">
      <c r="A34" t="s">
        <v>34</v>
      </c>
      <c r="B34">
        <v>2013</v>
      </c>
      <c r="C34" t="s">
        <v>45</v>
      </c>
      <c r="D34">
        <v>118.1</v>
      </c>
      <c r="E34">
        <v>115.4</v>
      </c>
      <c r="F34">
        <v>118.7</v>
      </c>
      <c r="G34">
        <v>112.5</v>
      </c>
      <c r="H34">
        <v>106.8</v>
      </c>
      <c r="I34">
        <v>113.5</v>
      </c>
      <c r="J34">
        <v>183.1</v>
      </c>
      <c r="K34">
        <v>108.2</v>
      </c>
      <c r="L34">
        <v>102.2</v>
      </c>
      <c r="M34">
        <v>109.4</v>
      </c>
      <c r="N34">
        <v>111.8</v>
      </c>
      <c r="O34">
        <v>116.5</v>
      </c>
      <c r="P34">
        <v>122.6</v>
      </c>
      <c r="Q34">
        <v>113.1</v>
      </c>
      <c r="R34">
        <v>114.2</v>
      </c>
      <c r="S34">
        <v>111.9</v>
      </c>
      <c r="T34">
        <v>113.8</v>
      </c>
      <c r="U34">
        <v>111.1</v>
      </c>
      <c r="V34">
        <v>111.6</v>
      </c>
      <c r="W34">
        <v>111.1</v>
      </c>
      <c r="X34">
        <v>109.3</v>
      </c>
      <c r="Y34">
        <v>109.5</v>
      </c>
      <c r="Z34">
        <v>108.6</v>
      </c>
      <c r="AA34">
        <v>111.2</v>
      </c>
      <c r="AB34">
        <v>108.1</v>
      </c>
      <c r="AC34">
        <v>109.7</v>
      </c>
      <c r="AD34">
        <v>116.3</v>
      </c>
    </row>
    <row r="35" spans="1:30" x14ac:dyDescent="0.25">
      <c r="A35" t="s">
        <v>30</v>
      </c>
      <c r="B35">
        <v>2013</v>
      </c>
      <c r="C35" t="s">
        <v>46</v>
      </c>
      <c r="D35">
        <v>118.4</v>
      </c>
      <c r="E35">
        <v>115.9</v>
      </c>
      <c r="F35">
        <v>120.4</v>
      </c>
      <c r="G35">
        <v>113.8</v>
      </c>
      <c r="H35">
        <v>109.5</v>
      </c>
      <c r="I35">
        <v>115.5</v>
      </c>
      <c r="J35">
        <v>145.69999999999999</v>
      </c>
      <c r="K35">
        <v>109.5</v>
      </c>
      <c r="L35">
        <v>102.9</v>
      </c>
      <c r="M35">
        <v>109.8</v>
      </c>
      <c r="N35">
        <v>112.1</v>
      </c>
      <c r="O35">
        <v>116.8</v>
      </c>
      <c r="P35">
        <v>118.7</v>
      </c>
      <c r="Q35">
        <v>113.6</v>
      </c>
      <c r="R35">
        <v>115.8</v>
      </c>
      <c r="S35">
        <v>114</v>
      </c>
      <c r="T35">
        <v>115.5</v>
      </c>
      <c r="U35" t="s">
        <v>32</v>
      </c>
      <c r="V35">
        <v>112.8</v>
      </c>
      <c r="W35">
        <v>112.1</v>
      </c>
      <c r="X35">
        <v>110.1</v>
      </c>
      <c r="Y35">
        <v>109.9</v>
      </c>
      <c r="Z35">
        <v>109.2</v>
      </c>
      <c r="AA35">
        <v>111.6</v>
      </c>
      <c r="AB35">
        <v>108.1</v>
      </c>
      <c r="AC35">
        <v>110.1</v>
      </c>
      <c r="AD35">
        <v>115.5</v>
      </c>
    </row>
    <row r="36" spans="1:30" x14ac:dyDescent="0.25">
      <c r="A36" t="s">
        <v>33</v>
      </c>
      <c r="B36">
        <v>2013</v>
      </c>
      <c r="C36" t="s">
        <v>46</v>
      </c>
      <c r="D36">
        <v>120.5</v>
      </c>
      <c r="E36">
        <v>118.1</v>
      </c>
      <c r="F36">
        <v>128.5</v>
      </c>
      <c r="G36">
        <v>112.8</v>
      </c>
      <c r="H36">
        <v>103.4</v>
      </c>
      <c r="I36">
        <v>110.7</v>
      </c>
      <c r="J36">
        <v>144.80000000000001</v>
      </c>
      <c r="K36">
        <v>107.1</v>
      </c>
      <c r="L36">
        <v>98.6</v>
      </c>
      <c r="M36">
        <v>111.9</v>
      </c>
      <c r="N36">
        <v>112.1</v>
      </c>
      <c r="O36">
        <v>118.1</v>
      </c>
      <c r="P36">
        <v>117.8</v>
      </c>
      <c r="Q36">
        <v>115</v>
      </c>
      <c r="R36">
        <v>114.2</v>
      </c>
      <c r="S36">
        <v>110.9</v>
      </c>
      <c r="T36">
        <v>113.7</v>
      </c>
      <c r="U36">
        <v>110.7</v>
      </c>
      <c r="V36">
        <v>110.4</v>
      </c>
      <c r="W36">
        <v>111.3</v>
      </c>
      <c r="X36">
        <v>109</v>
      </c>
      <c r="Y36">
        <v>109.7</v>
      </c>
      <c r="Z36">
        <v>108.9</v>
      </c>
      <c r="AA36">
        <v>111.4</v>
      </c>
      <c r="AB36">
        <v>107.7</v>
      </c>
      <c r="AC36">
        <v>109.8</v>
      </c>
      <c r="AD36">
        <v>113.3</v>
      </c>
    </row>
    <row r="37" spans="1:30" x14ac:dyDescent="0.25">
      <c r="A37" t="s">
        <v>34</v>
      </c>
      <c r="B37">
        <v>2013</v>
      </c>
      <c r="C37" t="s">
        <v>46</v>
      </c>
      <c r="D37">
        <v>119.1</v>
      </c>
      <c r="E37">
        <v>116.7</v>
      </c>
      <c r="F37">
        <v>123.5</v>
      </c>
      <c r="G37">
        <v>113.4</v>
      </c>
      <c r="H37">
        <v>107.3</v>
      </c>
      <c r="I37">
        <v>113.3</v>
      </c>
      <c r="J37">
        <v>145.4</v>
      </c>
      <c r="K37">
        <v>108.7</v>
      </c>
      <c r="L37">
        <v>101.5</v>
      </c>
      <c r="M37">
        <v>110.5</v>
      </c>
      <c r="N37">
        <v>112.1</v>
      </c>
      <c r="O37">
        <v>117.4</v>
      </c>
      <c r="P37">
        <v>118.4</v>
      </c>
      <c r="Q37">
        <v>114</v>
      </c>
      <c r="R37">
        <v>115.2</v>
      </c>
      <c r="S37">
        <v>112.7</v>
      </c>
      <c r="T37">
        <v>114.8</v>
      </c>
      <c r="U37">
        <v>110.7</v>
      </c>
      <c r="V37">
        <v>111.9</v>
      </c>
      <c r="W37">
        <v>111.7</v>
      </c>
      <c r="X37">
        <v>109.7</v>
      </c>
      <c r="Y37">
        <v>109.8</v>
      </c>
      <c r="Z37">
        <v>109</v>
      </c>
      <c r="AA37">
        <v>111.5</v>
      </c>
      <c r="AB37">
        <v>107.9</v>
      </c>
      <c r="AC37">
        <v>110</v>
      </c>
      <c r="AD37">
        <v>114.5</v>
      </c>
    </row>
    <row r="38" spans="1:30" x14ac:dyDescent="0.25">
      <c r="A38" t="s">
        <v>30</v>
      </c>
      <c r="B38">
        <v>2014</v>
      </c>
      <c r="C38" t="s">
        <v>31</v>
      </c>
      <c r="D38">
        <v>118.9</v>
      </c>
      <c r="E38">
        <v>117.1</v>
      </c>
      <c r="F38">
        <v>120.5</v>
      </c>
      <c r="G38">
        <v>114.4</v>
      </c>
      <c r="H38">
        <v>109</v>
      </c>
      <c r="I38">
        <v>115.5</v>
      </c>
      <c r="J38">
        <v>123.9</v>
      </c>
      <c r="K38">
        <v>109.6</v>
      </c>
      <c r="L38">
        <v>101.8</v>
      </c>
      <c r="M38">
        <v>110.2</v>
      </c>
      <c r="N38">
        <v>112.4</v>
      </c>
      <c r="O38">
        <v>117.3</v>
      </c>
      <c r="P38">
        <v>116</v>
      </c>
      <c r="Q38">
        <v>114</v>
      </c>
      <c r="R38">
        <v>116.5</v>
      </c>
      <c r="S38">
        <v>114.5</v>
      </c>
      <c r="T38">
        <v>116.2</v>
      </c>
      <c r="U38" t="s">
        <v>32</v>
      </c>
      <c r="V38">
        <v>113</v>
      </c>
      <c r="W38">
        <v>112.6</v>
      </c>
      <c r="X38">
        <v>110.6</v>
      </c>
      <c r="Y38">
        <v>110.5</v>
      </c>
      <c r="Z38">
        <v>109.6</v>
      </c>
      <c r="AA38">
        <v>111.8</v>
      </c>
      <c r="AB38">
        <v>108.3</v>
      </c>
      <c r="AC38">
        <v>110.6</v>
      </c>
      <c r="AD38">
        <v>114.2</v>
      </c>
    </row>
    <row r="39" spans="1:30" x14ac:dyDescent="0.25">
      <c r="A39" t="s">
        <v>33</v>
      </c>
      <c r="B39">
        <v>2014</v>
      </c>
      <c r="C39" t="s">
        <v>31</v>
      </c>
      <c r="D39">
        <v>121.2</v>
      </c>
      <c r="E39">
        <v>122</v>
      </c>
      <c r="F39">
        <v>129.9</v>
      </c>
      <c r="G39">
        <v>113.6</v>
      </c>
      <c r="H39">
        <v>102.9</v>
      </c>
      <c r="I39">
        <v>112.1</v>
      </c>
      <c r="J39">
        <v>118.9</v>
      </c>
      <c r="K39">
        <v>107.5</v>
      </c>
      <c r="L39">
        <v>96.9</v>
      </c>
      <c r="M39">
        <v>112.7</v>
      </c>
      <c r="N39">
        <v>112.1</v>
      </c>
      <c r="O39">
        <v>119</v>
      </c>
      <c r="P39">
        <v>115.5</v>
      </c>
      <c r="Q39">
        <v>115.7</v>
      </c>
      <c r="R39">
        <v>114.8</v>
      </c>
      <c r="S39">
        <v>111.3</v>
      </c>
      <c r="T39">
        <v>114.3</v>
      </c>
      <c r="U39">
        <v>111.6</v>
      </c>
      <c r="V39">
        <v>111</v>
      </c>
      <c r="W39">
        <v>111.9</v>
      </c>
      <c r="X39">
        <v>109.7</v>
      </c>
      <c r="Y39">
        <v>110.8</v>
      </c>
      <c r="Z39">
        <v>109.8</v>
      </c>
      <c r="AA39">
        <v>111.5</v>
      </c>
      <c r="AB39">
        <v>108</v>
      </c>
      <c r="AC39">
        <v>110.5</v>
      </c>
      <c r="AD39">
        <v>112.9</v>
      </c>
    </row>
    <row r="40" spans="1:30" x14ac:dyDescent="0.25">
      <c r="A40" t="s">
        <v>34</v>
      </c>
      <c r="B40">
        <v>2014</v>
      </c>
      <c r="C40" t="s">
        <v>31</v>
      </c>
      <c r="D40">
        <v>119.6</v>
      </c>
      <c r="E40">
        <v>118.8</v>
      </c>
      <c r="F40">
        <v>124.1</v>
      </c>
      <c r="G40">
        <v>114.1</v>
      </c>
      <c r="H40">
        <v>106.8</v>
      </c>
      <c r="I40">
        <v>113.9</v>
      </c>
      <c r="J40">
        <v>122.2</v>
      </c>
      <c r="K40">
        <v>108.9</v>
      </c>
      <c r="L40">
        <v>100.2</v>
      </c>
      <c r="M40">
        <v>111</v>
      </c>
      <c r="N40">
        <v>112.3</v>
      </c>
      <c r="O40">
        <v>118.1</v>
      </c>
      <c r="P40">
        <v>115.8</v>
      </c>
      <c r="Q40">
        <v>114.5</v>
      </c>
      <c r="R40">
        <v>115.8</v>
      </c>
      <c r="S40">
        <v>113.2</v>
      </c>
      <c r="T40">
        <v>115.4</v>
      </c>
      <c r="U40">
        <v>111.6</v>
      </c>
      <c r="V40">
        <v>112.2</v>
      </c>
      <c r="W40">
        <v>112.3</v>
      </c>
      <c r="X40">
        <v>110.3</v>
      </c>
      <c r="Y40">
        <v>110.7</v>
      </c>
      <c r="Z40">
        <v>109.7</v>
      </c>
      <c r="AA40">
        <v>111.6</v>
      </c>
      <c r="AB40">
        <v>108.2</v>
      </c>
      <c r="AC40">
        <v>110.6</v>
      </c>
      <c r="AD40">
        <v>113.6</v>
      </c>
    </row>
    <row r="41" spans="1:30" x14ac:dyDescent="0.25">
      <c r="A41" t="s">
        <v>30</v>
      </c>
      <c r="B41">
        <v>2014</v>
      </c>
      <c r="C41" t="s">
        <v>35</v>
      </c>
      <c r="D41">
        <v>119.4</v>
      </c>
      <c r="E41">
        <v>117.7</v>
      </c>
      <c r="F41">
        <v>121.2</v>
      </c>
      <c r="G41">
        <v>115</v>
      </c>
      <c r="H41">
        <v>109</v>
      </c>
      <c r="I41">
        <v>116.6</v>
      </c>
      <c r="J41">
        <v>116</v>
      </c>
      <c r="K41">
        <v>109.8</v>
      </c>
      <c r="L41">
        <v>101.1</v>
      </c>
      <c r="M41">
        <v>110.4</v>
      </c>
      <c r="N41">
        <v>112.9</v>
      </c>
      <c r="O41">
        <v>117.8</v>
      </c>
      <c r="P41">
        <v>115.3</v>
      </c>
      <c r="Q41">
        <v>114.2</v>
      </c>
      <c r="R41">
        <v>117.1</v>
      </c>
      <c r="S41">
        <v>114.5</v>
      </c>
      <c r="T41">
        <v>116.7</v>
      </c>
      <c r="U41" t="s">
        <v>32</v>
      </c>
      <c r="V41">
        <v>113.2</v>
      </c>
      <c r="W41">
        <v>112.9</v>
      </c>
      <c r="X41">
        <v>110.9</v>
      </c>
      <c r="Y41">
        <v>110.8</v>
      </c>
      <c r="Z41">
        <v>109.9</v>
      </c>
      <c r="AA41">
        <v>112</v>
      </c>
      <c r="AB41">
        <v>108.7</v>
      </c>
      <c r="AC41">
        <v>110.9</v>
      </c>
      <c r="AD41">
        <v>114</v>
      </c>
    </row>
    <row r="42" spans="1:30" x14ac:dyDescent="0.25">
      <c r="A42" t="s">
        <v>33</v>
      </c>
      <c r="B42">
        <v>2014</v>
      </c>
      <c r="C42" t="s">
        <v>35</v>
      </c>
      <c r="D42">
        <v>121.9</v>
      </c>
      <c r="E42">
        <v>122</v>
      </c>
      <c r="F42">
        <v>124.5</v>
      </c>
      <c r="G42">
        <v>115.2</v>
      </c>
      <c r="H42">
        <v>102.5</v>
      </c>
      <c r="I42">
        <v>114.1</v>
      </c>
      <c r="J42">
        <v>111.5</v>
      </c>
      <c r="K42">
        <v>108.2</v>
      </c>
      <c r="L42">
        <v>95.4</v>
      </c>
      <c r="M42">
        <v>113.5</v>
      </c>
      <c r="N42">
        <v>112.1</v>
      </c>
      <c r="O42">
        <v>119.9</v>
      </c>
      <c r="P42">
        <v>115.2</v>
      </c>
      <c r="Q42">
        <v>116.2</v>
      </c>
      <c r="R42">
        <v>115.3</v>
      </c>
      <c r="S42">
        <v>111.7</v>
      </c>
      <c r="T42">
        <v>114.7</v>
      </c>
      <c r="U42">
        <v>112.5</v>
      </c>
      <c r="V42">
        <v>111.1</v>
      </c>
      <c r="W42">
        <v>112.6</v>
      </c>
      <c r="X42">
        <v>110.4</v>
      </c>
      <c r="Y42">
        <v>111.3</v>
      </c>
      <c r="Z42">
        <v>110.3</v>
      </c>
      <c r="AA42">
        <v>111.6</v>
      </c>
      <c r="AB42">
        <v>108.7</v>
      </c>
      <c r="AC42">
        <v>111</v>
      </c>
      <c r="AD42">
        <v>113.1</v>
      </c>
    </row>
    <row r="43" spans="1:30" x14ac:dyDescent="0.25">
      <c r="A43" t="s">
        <v>34</v>
      </c>
      <c r="B43">
        <v>2014</v>
      </c>
      <c r="C43" t="s">
        <v>35</v>
      </c>
      <c r="D43">
        <v>120.2</v>
      </c>
      <c r="E43">
        <v>119.2</v>
      </c>
      <c r="F43">
        <v>122.5</v>
      </c>
      <c r="G43">
        <v>115.1</v>
      </c>
      <c r="H43">
        <v>106.6</v>
      </c>
      <c r="I43">
        <v>115.4</v>
      </c>
      <c r="J43">
        <v>114.5</v>
      </c>
      <c r="K43">
        <v>109.3</v>
      </c>
      <c r="L43">
        <v>99.2</v>
      </c>
      <c r="M43">
        <v>111.4</v>
      </c>
      <c r="N43">
        <v>112.6</v>
      </c>
      <c r="O43">
        <v>118.8</v>
      </c>
      <c r="P43">
        <v>115.3</v>
      </c>
      <c r="Q43">
        <v>114.7</v>
      </c>
      <c r="R43">
        <v>116.4</v>
      </c>
      <c r="S43">
        <v>113.3</v>
      </c>
      <c r="T43">
        <v>115.9</v>
      </c>
      <c r="U43">
        <v>112.5</v>
      </c>
      <c r="V43">
        <v>112.4</v>
      </c>
      <c r="W43">
        <v>112.8</v>
      </c>
      <c r="X43">
        <v>110.7</v>
      </c>
      <c r="Y43">
        <v>111.1</v>
      </c>
      <c r="Z43">
        <v>110.1</v>
      </c>
      <c r="AA43">
        <v>111.8</v>
      </c>
      <c r="AB43">
        <v>108.7</v>
      </c>
      <c r="AC43">
        <v>110.9</v>
      </c>
      <c r="AD43">
        <v>113.6</v>
      </c>
    </row>
    <row r="44" spans="1:30" x14ac:dyDescent="0.25">
      <c r="A44" t="s">
        <v>30</v>
      </c>
      <c r="B44">
        <v>2014</v>
      </c>
      <c r="C44" t="s">
        <v>36</v>
      </c>
      <c r="D44">
        <v>120.1</v>
      </c>
      <c r="E44">
        <v>118.1</v>
      </c>
      <c r="F44">
        <v>120.7</v>
      </c>
      <c r="G44">
        <v>116.1</v>
      </c>
      <c r="H44">
        <v>109.3</v>
      </c>
      <c r="I44">
        <v>119.6</v>
      </c>
      <c r="J44">
        <v>117.9</v>
      </c>
      <c r="K44">
        <v>110.2</v>
      </c>
      <c r="L44">
        <v>101.2</v>
      </c>
      <c r="M44">
        <v>110.7</v>
      </c>
      <c r="N44">
        <v>113</v>
      </c>
      <c r="O44">
        <v>118.3</v>
      </c>
      <c r="P44">
        <v>116.2</v>
      </c>
      <c r="Q44">
        <v>114.6</v>
      </c>
      <c r="R44">
        <v>117.5</v>
      </c>
      <c r="S44">
        <v>114.9</v>
      </c>
      <c r="T44">
        <v>117.2</v>
      </c>
      <c r="U44" t="s">
        <v>32</v>
      </c>
      <c r="V44">
        <v>113.4</v>
      </c>
      <c r="W44">
        <v>113.4</v>
      </c>
      <c r="X44">
        <v>111.4</v>
      </c>
      <c r="Y44">
        <v>111.2</v>
      </c>
      <c r="Z44">
        <v>110.2</v>
      </c>
      <c r="AA44">
        <v>112.4</v>
      </c>
      <c r="AB44">
        <v>108.9</v>
      </c>
      <c r="AC44">
        <v>111.3</v>
      </c>
      <c r="AD44">
        <v>114.6</v>
      </c>
    </row>
    <row r="45" spans="1:30" x14ac:dyDescent="0.25">
      <c r="A45" t="s">
        <v>33</v>
      </c>
      <c r="B45">
        <v>2014</v>
      </c>
      <c r="C45" t="s">
        <v>36</v>
      </c>
      <c r="D45">
        <v>122.1</v>
      </c>
      <c r="E45">
        <v>121.4</v>
      </c>
      <c r="F45">
        <v>121.5</v>
      </c>
      <c r="G45">
        <v>116.2</v>
      </c>
      <c r="H45">
        <v>102.8</v>
      </c>
      <c r="I45">
        <v>117.7</v>
      </c>
      <c r="J45">
        <v>113.3</v>
      </c>
      <c r="K45">
        <v>108.9</v>
      </c>
      <c r="L45">
        <v>96.3</v>
      </c>
      <c r="M45">
        <v>114.1</v>
      </c>
      <c r="N45">
        <v>112.2</v>
      </c>
      <c r="O45">
        <v>120.5</v>
      </c>
      <c r="P45">
        <v>116</v>
      </c>
      <c r="Q45">
        <v>116.7</v>
      </c>
      <c r="R45">
        <v>115.8</v>
      </c>
      <c r="S45">
        <v>112.1</v>
      </c>
      <c r="T45">
        <v>115.2</v>
      </c>
      <c r="U45">
        <v>113.2</v>
      </c>
      <c r="V45">
        <v>110.9</v>
      </c>
      <c r="W45">
        <v>113</v>
      </c>
      <c r="X45">
        <v>110.8</v>
      </c>
      <c r="Y45">
        <v>111.6</v>
      </c>
      <c r="Z45">
        <v>110.9</v>
      </c>
      <c r="AA45">
        <v>111.8</v>
      </c>
      <c r="AB45">
        <v>109.2</v>
      </c>
      <c r="AC45">
        <v>111.4</v>
      </c>
      <c r="AD45">
        <v>113.7</v>
      </c>
    </row>
    <row r="46" spans="1:30" x14ac:dyDescent="0.25">
      <c r="A46" t="s">
        <v>34</v>
      </c>
      <c r="B46">
        <v>2014</v>
      </c>
      <c r="C46" t="s">
        <v>47</v>
      </c>
      <c r="D46">
        <v>120.7</v>
      </c>
      <c r="E46">
        <v>119.3</v>
      </c>
      <c r="F46">
        <v>121</v>
      </c>
      <c r="G46">
        <v>116.1</v>
      </c>
      <c r="H46">
        <v>106.9</v>
      </c>
      <c r="I46">
        <v>118.7</v>
      </c>
      <c r="J46">
        <v>116.3</v>
      </c>
      <c r="K46">
        <v>109.8</v>
      </c>
      <c r="L46">
        <v>99.6</v>
      </c>
      <c r="M46">
        <v>111.8</v>
      </c>
      <c r="N46">
        <v>112.7</v>
      </c>
      <c r="O46">
        <v>119.3</v>
      </c>
      <c r="P46">
        <v>116.1</v>
      </c>
      <c r="Q46">
        <v>115.2</v>
      </c>
      <c r="R46">
        <v>116.8</v>
      </c>
      <c r="S46">
        <v>113.7</v>
      </c>
      <c r="T46">
        <v>116.4</v>
      </c>
      <c r="U46">
        <v>113.2</v>
      </c>
      <c r="V46">
        <v>112.5</v>
      </c>
      <c r="W46">
        <v>113.2</v>
      </c>
      <c r="X46">
        <v>111.2</v>
      </c>
      <c r="Y46">
        <v>111.4</v>
      </c>
      <c r="Z46">
        <v>110.6</v>
      </c>
      <c r="AA46">
        <v>112</v>
      </c>
      <c r="AB46">
        <v>109</v>
      </c>
      <c r="AC46">
        <v>111.3</v>
      </c>
      <c r="AD46">
        <v>114.2</v>
      </c>
    </row>
    <row r="47" spans="1:30" x14ac:dyDescent="0.25">
      <c r="A47" t="s">
        <v>30</v>
      </c>
      <c r="B47">
        <v>2014</v>
      </c>
      <c r="C47" t="s">
        <v>37</v>
      </c>
      <c r="D47">
        <v>120.2</v>
      </c>
      <c r="E47">
        <v>118.9</v>
      </c>
      <c r="F47">
        <v>118.1</v>
      </c>
      <c r="G47">
        <v>117</v>
      </c>
      <c r="H47">
        <v>109.7</v>
      </c>
      <c r="I47">
        <v>125.5</v>
      </c>
      <c r="J47">
        <v>120.5</v>
      </c>
      <c r="K47">
        <v>111</v>
      </c>
      <c r="L47">
        <v>102.6</v>
      </c>
      <c r="M47">
        <v>111.2</v>
      </c>
      <c r="N47">
        <v>113.5</v>
      </c>
      <c r="O47">
        <v>118.7</v>
      </c>
      <c r="P47">
        <v>117.2</v>
      </c>
      <c r="Q47">
        <v>115.4</v>
      </c>
      <c r="R47">
        <v>118.1</v>
      </c>
      <c r="S47">
        <v>116.1</v>
      </c>
      <c r="T47">
        <v>117.8</v>
      </c>
      <c r="U47" t="s">
        <v>32</v>
      </c>
      <c r="V47">
        <v>113.4</v>
      </c>
      <c r="W47">
        <v>113.7</v>
      </c>
      <c r="X47">
        <v>111.8</v>
      </c>
      <c r="Y47">
        <v>111.2</v>
      </c>
      <c r="Z47">
        <v>110.5</v>
      </c>
      <c r="AA47">
        <v>113</v>
      </c>
      <c r="AB47">
        <v>108.9</v>
      </c>
      <c r="AC47">
        <v>111.5</v>
      </c>
      <c r="AD47">
        <v>115.4</v>
      </c>
    </row>
    <row r="48" spans="1:30" x14ac:dyDescent="0.25">
      <c r="A48" t="s">
        <v>33</v>
      </c>
      <c r="B48">
        <v>2014</v>
      </c>
      <c r="C48" t="s">
        <v>37</v>
      </c>
      <c r="D48">
        <v>122.5</v>
      </c>
      <c r="E48">
        <v>121.7</v>
      </c>
      <c r="F48">
        <v>113.3</v>
      </c>
      <c r="G48">
        <v>117</v>
      </c>
      <c r="H48">
        <v>103.1</v>
      </c>
      <c r="I48">
        <v>126.7</v>
      </c>
      <c r="J48">
        <v>121.2</v>
      </c>
      <c r="K48">
        <v>111</v>
      </c>
      <c r="L48">
        <v>100.3</v>
      </c>
      <c r="M48">
        <v>115.3</v>
      </c>
      <c r="N48">
        <v>112.7</v>
      </c>
      <c r="O48">
        <v>121</v>
      </c>
      <c r="P48">
        <v>118.2</v>
      </c>
      <c r="Q48">
        <v>117.6</v>
      </c>
      <c r="R48">
        <v>116.3</v>
      </c>
      <c r="S48">
        <v>112.5</v>
      </c>
      <c r="T48">
        <v>115.7</v>
      </c>
      <c r="U48">
        <v>113.9</v>
      </c>
      <c r="V48">
        <v>110.9</v>
      </c>
      <c r="W48">
        <v>113.4</v>
      </c>
      <c r="X48">
        <v>111</v>
      </c>
      <c r="Y48">
        <v>111.2</v>
      </c>
      <c r="Z48">
        <v>111.2</v>
      </c>
      <c r="AA48">
        <v>112.5</v>
      </c>
      <c r="AB48">
        <v>109.1</v>
      </c>
      <c r="AC48">
        <v>111.4</v>
      </c>
      <c r="AD48">
        <v>114.7</v>
      </c>
    </row>
    <row r="49" spans="1:30" x14ac:dyDescent="0.25">
      <c r="A49" t="s">
        <v>34</v>
      </c>
      <c r="B49">
        <v>2014</v>
      </c>
      <c r="C49" t="s">
        <v>37</v>
      </c>
      <c r="D49">
        <v>120.9</v>
      </c>
      <c r="E49">
        <v>119.9</v>
      </c>
      <c r="F49">
        <v>116.2</v>
      </c>
      <c r="G49">
        <v>117</v>
      </c>
      <c r="H49">
        <v>107.3</v>
      </c>
      <c r="I49">
        <v>126.1</v>
      </c>
      <c r="J49">
        <v>120.7</v>
      </c>
      <c r="K49">
        <v>111</v>
      </c>
      <c r="L49">
        <v>101.8</v>
      </c>
      <c r="M49">
        <v>112.6</v>
      </c>
      <c r="N49">
        <v>113.2</v>
      </c>
      <c r="O49">
        <v>119.8</v>
      </c>
      <c r="P49">
        <v>117.6</v>
      </c>
      <c r="Q49">
        <v>116</v>
      </c>
      <c r="R49">
        <v>117.4</v>
      </c>
      <c r="S49">
        <v>114.6</v>
      </c>
      <c r="T49">
        <v>117</v>
      </c>
      <c r="U49">
        <v>113.9</v>
      </c>
      <c r="V49">
        <v>112.5</v>
      </c>
      <c r="W49">
        <v>113.6</v>
      </c>
      <c r="X49">
        <v>111.5</v>
      </c>
      <c r="Y49">
        <v>111.2</v>
      </c>
      <c r="Z49">
        <v>110.9</v>
      </c>
      <c r="AA49">
        <v>112.7</v>
      </c>
      <c r="AB49">
        <v>109</v>
      </c>
      <c r="AC49">
        <v>111.5</v>
      </c>
      <c r="AD49">
        <v>115.1</v>
      </c>
    </row>
    <row r="50" spans="1:30" x14ac:dyDescent="0.25">
      <c r="A50" t="s">
        <v>30</v>
      </c>
      <c r="B50">
        <v>2014</v>
      </c>
      <c r="C50" t="s">
        <v>38</v>
      </c>
      <c r="D50">
        <v>120.3</v>
      </c>
      <c r="E50">
        <v>120.2</v>
      </c>
      <c r="F50">
        <v>116.9</v>
      </c>
      <c r="G50">
        <v>118</v>
      </c>
      <c r="H50">
        <v>110.1</v>
      </c>
      <c r="I50">
        <v>126.3</v>
      </c>
      <c r="J50">
        <v>123.9</v>
      </c>
      <c r="K50">
        <v>111.5</v>
      </c>
      <c r="L50">
        <v>103.5</v>
      </c>
      <c r="M50">
        <v>111.6</v>
      </c>
      <c r="N50">
        <v>114.2</v>
      </c>
      <c r="O50">
        <v>119.2</v>
      </c>
      <c r="P50">
        <v>118.2</v>
      </c>
      <c r="Q50">
        <v>116.3</v>
      </c>
      <c r="R50">
        <v>118.7</v>
      </c>
      <c r="S50">
        <v>116.8</v>
      </c>
      <c r="T50">
        <v>118.5</v>
      </c>
      <c r="U50" t="s">
        <v>32</v>
      </c>
      <c r="V50">
        <v>113.4</v>
      </c>
      <c r="W50">
        <v>114.1</v>
      </c>
      <c r="X50">
        <v>112.1</v>
      </c>
      <c r="Y50">
        <v>111.4</v>
      </c>
      <c r="Z50">
        <v>110.9</v>
      </c>
      <c r="AA50">
        <v>113.1</v>
      </c>
      <c r="AB50">
        <v>108.9</v>
      </c>
      <c r="AC50">
        <v>111.8</v>
      </c>
      <c r="AD50">
        <v>116</v>
      </c>
    </row>
    <row r="51" spans="1:30" x14ac:dyDescent="0.25">
      <c r="A51" t="s">
        <v>33</v>
      </c>
      <c r="B51">
        <v>2014</v>
      </c>
      <c r="C51" t="s">
        <v>38</v>
      </c>
      <c r="D51">
        <v>122.7</v>
      </c>
      <c r="E51">
        <v>124.1</v>
      </c>
      <c r="F51">
        <v>114.2</v>
      </c>
      <c r="G51">
        <v>119.1</v>
      </c>
      <c r="H51">
        <v>103.5</v>
      </c>
      <c r="I51">
        <v>129.19999999999999</v>
      </c>
      <c r="J51">
        <v>127</v>
      </c>
      <c r="K51">
        <v>112.6</v>
      </c>
      <c r="L51">
        <v>101.3</v>
      </c>
      <c r="M51">
        <v>117</v>
      </c>
      <c r="N51">
        <v>112.9</v>
      </c>
      <c r="O51">
        <v>121.7</v>
      </c>
      <c r="P51">
        <v>120</v>
      </c>
      <c r="Q51">
        <v>118.3</v>
      </c>
      <c r="R51">
        <v>116.8</v>
      </c>
      <c r="S51">
        <v>112.9</v>
      </c>
      <c r="T51">
        <v>116.2</v>
      </c>
      <c r="U51">
        <v>114.3</v>
      </c>
      <c r="V51">
        <v>111.1</v>
      </c>
      <c r="W51">
        <v>114.1</v>
      </c>
      <c r="X51">
        <v>111.2</v>
      </c>
      <c r="Y51">
        <v>111.3</v>
      </c>
      <c r="Z51">
        <v>111.5</v>
      </c>
      <c r="AA51">
        <v>112.9</v>
      </c>
      <c r="AB51">
        <v>109.3</v>
      </c>
      <c r="AC51">
        <v>111.7</v>
      </c>
      <c r="AD51">
        <v>115.6</v>
      </c>
    </row>
    <row r="52" spans="1:30" x14ac:dyDescent="0.25">
      <c r="A52" t="s">
        <v>34</v>
      </c>
      <c r="B52">
        <v>2014</v>
      </c>
      <c r="C52" t="s">
        <v>38</v>
      </c>
      <c r="D52">
        <v>121.1</v>
      </c>
      <c r="E52">
        <v>121.6</v>
      </c>
      <c r="F52">
        <v>115.9</v>
      </c>
      <c r="G52">
        <v>118.4</v>
      </c>
      <c r="H52">
        <v>107.7</v>
      </c>
      <c r="I52">
        <v>127.7</v>
      </c>
      <c r="J52">
        <v>125</v>
      </c>
      <c r="K52">
        <v>111.9</v>
      </c>
      <c r="L52">
        <v>102.8</v>
      </c>
      <c r="M52">
        <v>113.4</v>
      </c>
      <c r="N52">
        <v>113.7</v>
      </c>
      <c r="O52">
        <v>120.4</v>
      </c>
      <c r="P52">
        <v>118.9</v>
      </c>
      <c r="Q52">
        <v>116.8</v>
      </c>
      <c r="R52">
        <v>118</v>
      </c>
      <c r="S52">
        <v>115.2</v>
      </c>
      <c r="T52">
        <v>117.6</v>
      </c>
      <c r="U52">
        <v>114.3</v>
      </c>
      <c r="V52">
        <v>112.5</v>
      </c>
      <c r="W52">
        <v>114.1</v>
      </c>
      <c r="X52">
        <v>111.8</v>
      </c>
      <c r="Y52">
        <v>111.3</v>
      </c>
      <c r="Z52">
        <v>111.2</v>
      </c>
      <c r="AA52">
        <v>113</v>
      </c>
      <c r="AB52">
        <v>109.1</v>
      </c>
      <c r="AC52">
        <v>111.8</v>
      </c>
      <c r="AD52">
        <v>115.8</v>
      </c>
    </row>
    <row r="53" spans="1:30" x14ac:dyDescent="0.25">
      <c r="A53" t="s">
        <v>30</v>
      </c>
      <c r="B53">
        <v>2014</v>
      </c>
      <c r="C53" t="s">
        <v>39</v>
      </c>
      <c r="D53">
        <v>120.7</v>
      </c>
      <c r="E53">
        <v>121.6</v>
      </c>
      <c r="F53">
        <v>116.1</v>
      </c>
      <c r="G53">
        <v>119.3</v>
      </c>
      <c r="H53">
        <v>110.3</v>
      </c>
      <c r="I53">
        <v>125.8</v>
      </c>
      <c r="J53">
        <v>129.30000000000001</v>
      </c>
      <c r="K53">
        <v>112.2</v>
      </c>
      <c r="L53">
        <v>103.6</v>
      </c>
      <c r="M53">
        <v>112.3</v>
      </c>
      <c r="N53">
        <v>114.9</v>
      </c>
      <c r="O53">
        <v>120.1</v>
      </c>
      <c r="P53">
        <v>119.5</v>
      </c>
      <c r="Q53">
        <v>117.3</v>
      </c>
      <c r="R53">
        <v>119.7</v>
      </c>
      <c r="S53">
        <v>117.3</v>
      </c>
      <c r="T53">
        <v>119.3</v>
      </c>
      <c r="U53" t="s">
        <v>32</v>
      </c>
      <c r="V53">
        <v>114.4</v>
      </c>
      <c r="W53">
        <v>114.9</v>
      </c>
      <c r="X53">
        <v>112.8</v>
      </c>
      <c r="Y53">
        <v>112.2</v>
      </c>
      <c r="Z53">
        <v>111.4</v>
      </c>
      <c r="AA53">
        <v>114.3</v>
      </c>
      <c r="AB53">
        <v>108</v>
      </c>
      <c r="AC53">
        <v>112.3</v>
      </c>
      <c r="AD53">
        <v>117</v>
      </c>
    </row>
    <row r="54" spans="1:30" x14ac:dyDescent="0.25">
      <c r="A54" t="s">
        <v>33</v>
      </c>
      <c r="B54">
        <v>2014</v>
      </c>
      <c r="C54" t="s">
        <v>39</v>
      </c>
      <c r="D54">
        <v>123.1</v>
      </c>
      <c r="E54">
        <v>125.9</v>
      </c>
      <c r="F54">
        <v>115.4</v>
      </c>
      <c r="G54">
        <v>120.4</v>
      </c>
      <c r="H54">
        <v>103.4</v>
      </c>
      <c r="I54">
        <v>131.19999999999999</v>
      </c>
      <c r="J54">
        <v>137.5</v>
      </c>
      <c r="K54">
        <v>112.8</v>
      </c>
      <c r="L54">
        <v>101.4</v>
      </c>
      <c r="M54">
        <v>118.3</v>
      </c>
      <c r="N54">
        <v>113.2</v>
      </c>
      <c r="O54">
        <v>122.4</v>
      </c>
      <c r="P54">
        <v>122</v>
      </c>
      <c r="Q54">
        <v>119</v>
      </c>
      <c r="R54">
        <v>117.4</v>
      </c>
      <c r="S54">
        <v>113.2</v>
      </c>
      <c r="T54">
        <v>116.7</v>
      </c>
      <c r="U54">
        <v>113.9</v>
      </c>
      <c r="V54">
        <v>111.2</v>
      </c>
      <c r="W54">
        <v>114.3</v>
      </c>
      <c r="X54">
        <v>111.4</v>
      </c>
      <c r="Y54">
        <v>111.5</v>
      </c>
      <c r="Z54">
        <v>111.8</v>
      </c>
      <c r="AA54">
        <v>115.1</v>
      </c>
      <c r="AB54">
        <v>108.7</v>
      </c>
      <c r="AC54">
        <v>112.2</v>
      </c>
      <c r="AD54">
        <v>116.4</v>
      </c>
    </row>
    <row r="55" spans="1:30" x14ac:dyDescent="0.25">
      <c r="A55" t="s">
        <v>34</v>
      </c>
      <c r="B55">
        <v>2014</v>
      </c>
      <c r="C55" t="s">
        <v>39</v>
      </c>
      <c r="D55">
        <v>121.5</v>
      </c>
      <c r="E55">
        <v>123.1</v>
      </c>
      <c r="F55">
        <v>115.8</v>
      </c>
      <c r="G55">
        <v>119.7</v>
      </c>
      <c r="H55">
        <v>107.8</v>
      </c>
      <c r="I55">
        <v>128.30000000000001</v>
      </c>
      <c r="J55">
        <v>132.1</v>
      </c>
      <c r="K55">
        <v>112.4</v>
      </c>
      <c r="L55">
        <v>102.9</v>
      </c>
      <c r="M55">
        <v>114.3</v>
      </c>
      <c r="N55">
        <v>114.2</v>
      </c>
      <c r="O55">
        <v>121.2</v>
      </c>
      <c r="P55">
        <v>120.4</v>
      </c>
      <c r="Q55">
        <v>117.8</v>
      </c>
      <c r="R55">
        <v>118.8</v>
      </c>
      <c r="S55">
        <v>115.6</v>
      </c>
      <c r="T55">
        <v>118.3</v>
      </c>
      <c r="U55">
        <v>113.9</v>
      </c>
      <c r="V55">
        <v>113.2</v>
      </c>
      <c r="W55">
        <v>114.6</v>
      </c>
      <c r="X55">
        <v>112.3</v>
      </c>
      <c r="Y55">
        <v>111.8</v>
      </c>
      <c r="Z55">
        <v>111.6</v>
      </c>
      <c r="AA55">
        <v>114.8</v>
      </c>
      <c r="AB55">
        <v>108.3</v>
      </c>
      <c r="AC55">
        <v>112.3</v>
      </c>
      <c r="AD55">
        <v>116.7</v>
      </c>
    </row>
    <row r="56" spans="1:30" x14ac:dyDescent="0.25">
      <c r="A56" t="s">
        <v>30</v>
      </c>
      <c r="B56">
        <v>2014</v>
      </c>
      <c r="C56" t="s">
        <v>40</v>
      </c>
      <c r="D56">
        <v>121.7</v>
      </c>
      <c r="E56">
        <v>122.5</v>
      </c>
      <c r="F56">
        <v>117.7</v>
      </c>
      <c r="G56">
        <v>120.6</v>
      </c>
      <c r="H56">
        <v>110.4</v>
      </c>
      <c r="I56">
        <v>129.1</v>
      </c>
      <c r="J56">
        <v>150.1</v>
      </c>
      <c r="K56">
        <v>113.2</v>
      </c>
      <c r="L56">
        <v>104.8</v>
      </c>
      <c r="M56">
        <v>113.3</v>
      </c>
      <c r="N56">
        <v>115.6</v>
      </c>
      <c r="O56">
        <v>120.9</v>
      </c>
      <c r="P56">
        <v>123.3</v>
      </c>
      <c r="Q56">
        <v>118</v>
      </c>
      <c r="R56">
        <v>120.7</v>
      </c>
      <c r="S56">
        <v>118.3</v>
      </c>
      <c r="T56">
        <v>120.3</v>
      </c>
      <c r="U56" t="s">
        <v>32</v>
      </c>
      <c r="V56">
        <v>115.3</v>
      </c>
      <c r="W56">
        <v>115.4</v>
      </c>
      <c r="X56">
        <v>113.4</v>
      </c>
      <c r="Y56">
        <v>113.2</v>
      </c>
      <c r="Z56">
        <v>111.8</v>
      </c>
      <c r="AA56">
        <v>115.5</v>
      </c>
      <c r="AB56">
        <v>108.8</v>
      </c>
      <c r="AC56">
        <v>113.1</v>
      </c>
      <c r="AD56">
        <v>119.5</v>
      </c>
    </row>
    <row r="57" spans="1:30" x14ac:dyDescent="0.25">
      <c r="A57" t="s">
        <v>33</v>
      </c>
      <c r="B57">
        <v>2014</v>
      </c>
      <c r="C57" t="s">
        <v>40</v>
      </c>
      <c r="D57">
        <v>123.8</v>
      </c>
      <c r="E57">
        <v>126.4</v>
      </c>
      <c r="F57">
        <v>118</v>
      </c>
      <c r="G57">
        <v>121.6</v>
      </c>
      <c r="H57">
        <v>103.5</v>
      </c>
      <c r="I57">
        <v>133.69999999999999</v>
      </c>
      <c r="J57">
        <v>172.4</v>
      </c>
      <c r="K57">
        <v>113.1</v>
      </c>
      <c r="L57">
        <v>102.7</v>
      </c>
      <c r="M57">
        <v>120</v>
      </c>
      <c r="N57">
        <v>113.8</v>
      </c>
      <c r="O57">
        <v>123.4</v>
      </c>
      <c r="P57">
        <v>127.1</v>
      </c>
      <c r="Q57">
        <v>121</v>
      </c>
      <c r="R57">
        <v>118</v>
      </c>
      <c r="S57">
        <v>113.6</v>
      </c>
      <c r="T57">
        <v>117.4</v>
      </c>
      <c r="U57">
        <v>114.8</v>
      </c>
      <c r="V57">
        <v>111.6</v>
      </c>
      <c r="W57">
        <v>114.9</v>
      </c>
      <c r="X57">
        <v>111.5</v>
      </c>
      <c r="Y57">
        <v>113</v>
      </c>
      <c r="Z57">
        <v>112.4</v>
      </c>
      <c r="AA57">
        <v>117.8</v>
      </c>
      <c r="AB57">
        <v>109.7</v>
      </c>
      <c r="AC57">
        <v>113.5</v>
      </c>
      <c r="AD57">
        <v>118.9</v>
      </c>
    </row>
    <row r="58" spans="1:30" x14ac:dyDescent="0.25">
      <c r="A58" t="s">
        <v>34</v>
      </c>
      <c r="B58">
        <v>2014</v>
      </c>
      <c r="C58" t="s">
        <v>40</v>
      </c>
      <c r="D58">
        <v>122.4</v>
      </c>
      <c r="E58">
        <v>123.9</v>
      </c>
      <c r="F58">
        <v>117.8</v>
      </c>
      <c r="G58">
        <v>121</v>
      </c>
      <c r="H58">
        <v>107.9</v>
      </c>
      <c r="I58">
        <v>131.19999999999999</v>
      </c>
      <c r="J58">
        <v>157.69999999999999</v>
      </c>
      <c r="K58">
        <v>113.2</v>
      </c>
      <c r="L58">
        <v>104.1</v>
      </c>
      <c r="M58">
        <v>115.5</v>
      </c>
      <c r="N58">
        <v>114.8</v>
      </c>
      <c r="O58">
        <v>122.1</v>
      </c>
      <c r="P58">
        <v>124.7</v>
      </c>
      <c r="Q58">
        <v>118.8</v>
      </c>
      <c r="R58">
        <v>119.6</v>
      </c>
      <c r="S58">
        <v>116.3</v>
      </c>
      <c r="T58">
        <v>119.1</v>
      </c>
      <c r="U58">
        <v>114.8</v>
      </c>
      <c r="V58">
        <v>113.9</v>
      </c>
      <c r="W58">
        <v>115.2</v>
      </c>
      <c r="X58">
        <v>112.7</v>
      </c>
      <c r="Y58">
        <v>113.1</v>
      </c>
      <c r="Z58">
        <v>112.1</v>
      </c>
      <c r="AA58">
        <v>116.8</v>
      </c>
      <c r="AB58">
        <v>109.2</v>
      </c>
      <c r="AC58">
        <v>113.3</v>
      </c>
      <c r="AD58">
        <v>119.2</v>
      </c>
    </row>
    <row r="59" spans="1:30" x14ac:dyDescent="0.25">
      <c r="A59" t="s">
        <v>30</v>
      </c>
      <c r="B59">
        <v>2014</v>
      </c>
      <c r="C59" t="s">
        <v>41</v>
      </c>
      <c r="D59">
        <v>121.8</v>
      </c>
      <c r="E59">
        <v>122.8</v>
      </c>
      <c r="F59">
        <v>117.8</v>
      </c>
      <c r="G59">
        <v>121.9</v>
      </c>
      <c r="H59">
        <v>110.6</v>
      </c>
      <c r="I59">
        <v>129.69999999999999</v>
      </c>
      <c r="J59">
        <v>161.1</v>
      </c>
      <c r="K59">
        <v>114.1</v>
      </c>
      <c r="L59">
        <v>105.1</v>
      </c>
      <c r="M59">
        <v>114.6</v>
      </c>
      <c r="N59">
        <v>115.8</v>
      </c>
      <c r="O59">
        <v>121.7</v>
      </c>
      <c r="P59">
        <v>125.3</v>
      </c>
      <c r="Q59">
        <v>118.8</v>
      </c>
      <c r="R59">
        <v>120.9</v>
      </c>
      <c r="S59">
        <v>118.8</v>
      </c>
      <c r="T59">
        <v>120.7</v>
      </c>
      <c r="U59" t="s">
        <v>32</v>
      </c>
      <c r="V59">
        <v>115.4</v>
      </c>
      <c r="W59">
        <v>115.9</v>
      </c>
      <c r="X59">
        <v>114</v>
      </c>
      <c r="Y59">
        <v>113.2</v>
      </c>
      <c r="Z59">
        <v>112.2</v>
      </c>
      <c r="AA59">
        <v>116.2</v>
      </c>
      <c r="AB59">
        <v>109.4</v>
      </c>
      <c r="AC59">
        <v>113.5</v>
      </c>
      <c r="AD59">
        <v>120.7</v>
      </c>
    </row>
    <row r="60" spans="1:30" x14ac:dyDescent="0.25">
      <c r="A60" t="s">
        <v>33</v>
      </c>
      <c r="B60">
        <v>2014</v>
      </c>
      <c r="C60" t="s">
        <v>41</v>
      </c>
      <c r="D60">
        <v>124.8</v>
      </c>
      <c r="E60">
        <v>127.3</v>
      </c>
      <c r="F60">
        <v>116.5</v>
      </c>
      <c r="G60">
        <v>122.2</v>
      </c>
      <c r="H60">
        <v>103.6</v>
      </c>
      <c r="I60">
        <v>132.69999999999999</v>
      </c>
      <c r="J60">
        <v>181.9</v>
      </c>
      <c r="K60">
        <v>115.2</v>
      </c>
      <c r="L60">
        <v>102.7</v>
      </c>
      <c r="M60">
        <v>122.1</v>
      </c>
      <c r="N60">
        <v>114.4</v>
      </c>
      <c r="O60">
        <v>124.7</v>
      </c>
      <c r="P60">
        <v>128.9</v>
      </c>
      <c r="Q60">
        <v>123</v>
      </c>
      <c r="R60">
        <v>118.6</v>
      </c>
      <c r="S60">
        <v>114.1</v>
      </c>
      <c r="T60">
        <v>117.9</v>
      </c>
      <c r="U60">
        <v>115.5</v>
      </c>
      <c r="V60">
        <v>111.8</v>
      </c>
      <c r="W60">
        <v>115.3</v>
      </c>
      <c r="X60">
        <v>112.2</v>
      </c>
      <c r="Y60">
        <v>112.5</v>
      </c>
      <c r="Z60">
        <v>112.9</v>
      </c>
      <c r="AA60">
        <v>119.2</v>
      </c>
      <c r="AB60">
        <v>110.5</v>
      </c>
      <c r="AC60">
        <v>113.9</v>
      </c>
      <c r="AD60">
        <v>119.9</v>
      </c>
    </row>
    <row r="61" spans="1:30" x14ac:dyDescent="0.25">
      <c r="A61" t="s">
        <v>34</v>
      </c>
      <c r="B61">
        <v>2014</v>
      </c>
      <c r="C61" t="s">
        <v>41</v>
      </c>
      <c r="D61">
        <v>122.7</v>
      </c>
      <c r="E61">
        <v>124.4</v>
      </c>
      <c r="F61">
        <v>117.3</v>
      </c>
      <c r="G61">
        <v>122</v>
      </c>
      <c r="H61">
        <v>108</v>
      </c>
      <c r="I61">
        <v>131.1</v>
      </c>
      <c r="J61">
        <v>168.2</v>
      </c>
      <c r="K61">
        <v>114.5</v>
      </c>
      <c r="L61">
        <v>104.3</v>
      </c>
      <c r="M61">
        <v>117.1</v>
      </c>
      <c r="N61">
        <v>115.2</v>
      </c>
      <c r="O61">
        <v>123.1</v>
      </c>
      <c r="P61">
        <v>126.6</v>
      </c>
      <c r="Q61">
        <v>119.9</v>
      </c>
      <c r="R61">
        <v>120</v>
      </c>
      <c r="S61">
        <v>116.8</v>
      </c>
      <c r="T61">
        <v>119.6</v>
      </c>
      <c r="U61">
        <v>115.5</v>
      </c>
      <c r="V61">
        <v>114</v>
      </c>
      <c r="W61">
        <v>115.6</v>
      </c>
      <c r="X61">
        <v>113.3</v>
      </c>
      <c r="Y61">
        <v>112.8</v>
      </c>
      <c r="Z61">
        <v>112.6</v>
      </c>
      <c r="AA61">
        <v>118</v>
      </c>
      <c r="AB61">
        <v>109.9</v>
      </c>
      <c r="AC61">
        <v>113.7</v>
      </c>
      <c r="AD61">
        <v>120.3</v>
      </c>
    </row>
    <row r="62" spans="1:30" x14ac:dyDescent="0.25">
      <c r="A62" t="s">
        <v>30</v>
      </c>
      <c r="B62">
        <v>2014</v>
      </c>
      <c r="C62" t="s">
        <v>42</v>
      </c>
      <c r="D62">
        <v>122.3</v>
      </c>
      <c r="E62">
        <v>122.4</v>
      </c>
      <c r="F62">
        <v>117.8</v>
      </c>
      <c r="G62">
        <v>122.7</v>
      </c>
      <c r="H62">
        <v>110.4</v>
      </c>
      <c r="I62">
        <v>129.80000000000001</v>
      </c>
      <c r="J62">
        <v>158.80000000000001</v>
      </c>
      <c r="K62">
        <v>115</v>
      </c>
      <c r="L62">
        <v>104.7</v>
      </c>
      <c r="M62">
        <v>114.9</v>
      </c>
      <c r="N62">
        <v>116.5</v>
      </c>
      <c r="O62">
        <v>122.6</v>
      </c>
      <c r="P62">
        <v>125.3</v>
      </c>
      <c r="Q62">
        <v>119.5</v>
      </c>
      <c r="R62">
        <v>121.7</v>
      </c>
      <c r="S62">
        <v>119.2</v>
      </c>
      <c r="T62">
        <v>121.3</v>
      </c>
      <c r="U62" t="s">
        <v>32</v>
      </c>
      <c r="V62">
        <v>115.8</v>
      </c>
      <c r="W62">
        <v>116.7</v>
      </c>
      <c r="X62">
        <v>114.5</v>
      </c>
      <c r="Y62">
        <v>112.8</v>
      </c>
      <c r="Z62">
        <v>112.6</v>
      </c>
      <c r="AA62">
        <v>116.6</v>
      </c>
      <c r="AB62">
        <v>109.1</v>
      </c>
      <c r="AC62">
        <v>113.7</v>
      </c>
      <c r="AD62">
        <v>120.9</v>
      </c>
    </row>
    <row r="63" spans="1:30" x14ac:dyDescent="0.25">
      <c r="A63" t="s">
        <v>33</v>
      </c>
      <c r="B63">
        <v>2014</v>
      </c>
      <c r="C63" t="s">
        <v>42</v>
      </c>
      <c r="D63">
        <v>124.2</v>
      </c>
      <c r="E63">
        <v>125.4</v>
      </c>
      <c r="F63">
        <v>116.4</v>
      </c>
      <c r="G63">
        <v>122.7</v>
      </c>
      <c r="H63">
        <v>103.5</v>
      </c>
      <c r="I63">
        <v>124.5</v>
      </c>
      <c r="J63">
        <v>168.6</v>
      </c>
      <c r="K63">
        <v>116.9</v>
      </c>
      <c r="L63">
        <v>101.9</v>
      </c>
      <c r="M63">
        <v>122.9</v>
      </c>
      <c r="N63">
        <v>114.8</v>
      </c>
      <c r="O63">
        <v>125.2</v>
      </c>
      <c r="P63">
        <v>126.7</v>
      </c>
      <c r="Q63">
        <v>124.3</v>
      </c>
      <c r="R63">
        <v>119.2</v>
      </c>
      <c r="S63">
        <v>114.5</v>
      </c>
      <c r="T63">
        <v>118.4</v>
      </c>
      <c r="U63">
        <v>116.1</v>
      </c>
      <c r="V63">
        <v>111.8</v>
      </c>
      <c r="W63">
        <v>115.5</v>
      </c>
      <c r="X63">
        <v>112.3</v>
      </c>
      <c r="Y63">
        <v>111.2</v>
      </c>
      <c r="Z63">
        <v>113.4</v>
      </c>
      <c r="AA63">
        <v>120</v>
      </c>
      <c r="AB63">
        <v>110</v>
      </c>
      <c r="AC63">
        <v>113.6</v>
      </c>
      <c r="AD63">
        <v>119.2</v>
      </c>
    </row>
    <row r="64" spans="1:30" x14ac:dyDescent="0.25">
      <c r="A64" t="s">
        <v>34</v>
      </c>
      <c r="B64">
        <v>2014</v>
      </c>
      <c r="C64" t="s">
        <v>42</v>
      </c>
      <c r="D64">
        <v>122.9</v>
      </c>
      <c r="E64">
        <v>123.5</v>
      </c>
      <c r="F64">
        <v>117.3</v>
      </c>
      <c r="G64">
        <v>122.7</v>
      </c>
      <c r="H64">
        <v>107.9</v>
      </c>
      <c r="I64">
        <v>127.3</v>
      </c>
      <c r="J64">
        <v>162.1</v>
      </c>
      <c r="K64">
        <v>115.6</v>
      </c>
      <c r="L64">
        <v>103.8</v>
      </c>
      <c r="M64">
        <v>117.6</v>
      </c>
      <c r="N64">
        <v>115.8</v>
      </c>
      <c r="O64">
        <v>123.8</v>
      </c>
      <c r="P64">
        <v>125.8</v>
      </c>
      <c r="Q64">
        <v>120.8</v>
      </c>
      <c r="R64">
        <v>120.7</v>
      </c>
      <c r="S64">
        <v>117.2</v>
      </c>
      <c r="T64">
        <v>120.1</v>
      </c>
      <c r="U64">
        <v>116.1</v>
      </c>
      <c r="V64">
        <v>114.3</v>
      </c>
      <c r="W64">
        <v>116.1</v>
      </c>
      <c r="X64">
        <v>113.7</v>
      </c>
      <c r="Y64">
        <v>112</v>
      </c>
      <c r="Z64">
        <v>113.1</v>
      </c>
      <c r="AA64">
        <v>118.6</v>
      </c>
      <c r="AB64">
        <v>109.5</v>
      </c>
      <c r="AC64">
        <v>113.7</v>
      </c>
      <c r="AD64">
        <v>120.1</v>
      </c>
    </row>
    <row r="65" spans="1:30" x14ac:dyDescent="0.25">
      <c r="A65" t="s">
        <v>30</v>
      </c>
      <c r="B65">
        <v>2014</v>
      </c>
      <c r="C65" t="s">
        <v>43</v>
      </c>
      <c r="D65">
        <v>122.6</v>
      </c>
      <c r="E65">
        <v>122.5</v>
      </c>
      <c r="F65">
        <v>118.3</v>
      </c>
      <c r="G65">
        <v>123.2</v>
      </c>
      <c r="H65">
        <v>110.5</v>
      </c>
      <c r="I65">
        <v>128.9</v>
      </c>
      <c r="J65">
        <v>155.30000000000001</v>
      </c>
      <c r="K65">
        <v>115.5</v>
      </c>
      <c r="L65">
        <v>104</v>
      </c>
      <c r="M65">
        <v>115.3</v>
      </c>
      <c r="N65">
        <v>116.8</v>
      </c>
      <c r="O65">
        <v>123.2</v>
      </c>
      <c r="P65">
        <v>125.1</v>
      </c>
      <c r="Q65">
        <v>120</v>
      </c>
      <c r="R65">
        <v>122.7</v>
      </c>
      <c r="S65">
        <v>120.3</v>
      </c>
      <c r="T65">
        <v>122.3</v>
      </c>
      <c r="U65" t="s">
        <v>32</v>
      </c>
      <c r="V65">
        <v>116.4</v>
      </c>
      <c r="W65">
        <v>117.5</v>
      </c>
      <c r="X65">
        <v>115.3</v>
      </c>
      <c r="Y65">
        <v>112.6</v>
      </c>
      <c r="Z65">
        <v>113</v>
      </c>
      <c r="AA65">
        <v>116.9</v>
      </c>
      <c r="AB65">
        <v>109.3</v>
      </c>
      <c r="AC65">
        <v>114</v>
      </c>
      <c r="AD65">
        <v>121</v>
      </c>
    </row>
    <row r="66" spans="1:30" x14ac:dyDescent="0.25">
      <c r="A66" t="s">
        <v>33</v>
      </c>
      <c r="B66">
        <v>2014</v>
      </c>
      <c r="C66" t="s">
        <v>43</v>
      </c>
      <c r="D66">
        <v>124.6</v>
      </c>
      <c r="E66">
        <v>126.1</v>
      </c>
      <c r="F66">
        <v>117.8</v>
      </c>
      <c r="G66">
        <v>123.1</v>
      </c>
      <c r="H66">
        <v>103.5</v>
      </c>
      <c r="I66">
        <v>123.5</v>
      </c>
      <c r="J66">
        <v>159.6</v>
      </c>
      <c r="K66">
        <v>117.4</v>
      </c>
      <c r="L66">
        <v>101.2</v>
      </c>
      <c r="M66">
        <v>123.8</v>
      </c>
      <c r="N66">
        <v>115.2</v>
      </c>
      <c r="O66">
        <v>125.9</v>
      </c>
      <c r="P66">
        <v>125.8</v>
      </c>
      <c r="Q66">
        <v>124.3</v>
      </c>
      <c r="R66">
        <v>119.6</v>
      </c>
      <c r="S66">
        <v>114.9</v>
      </c>
      <c r="T66">
        <v>118.9</v>
      </c>
      <c r="U66">
        <v>116.7</v>
      </c>
      <c r="V66">
        <v>112</v>
      </c>
      <c r="W66">
        <v>115.8</v>
      </c>
      <c r="X66">
        <v>112.6</v>
      </c>
      <c r="Y66">
        <v>111</v>
      </c>
      <c r="Z66">
        <v>113.6</v>
      </c>
      <c r="AA66">
        <v>120.2</v>
      </c>
      <c r="AB66">
        <v>110.1</v>
      </c>
      <c r="AC66">
        <v>113.7</v>
      </c>
      <c r="AD66">
        <v>119.1</v>
      </c>
    </row>
    <row r="67" spans="1:30" x14ac:dyDescent="0.25">
      <c r="A67" t="s">
        <v>34</v>
      </c>
      <c r="B67">
        <v>2014</v>
      </c>
      <c r="C67" t="s">
        <v>43</v>
      </c>
      <c r="D67">
        <v>123.2</v>
      </c>
      <c r="E67">
        <v>123.8</v>
      </c>
      <c r="F67">
        <v>118.1</v>
      </c>
      <c r="G67">
        <v>123.2</v>
      </c>
      <c r="H67">
        <v>107.9</v>
      </c>
      <c r="I67">
        <v>126.4</v>
      </c>
      <c r="J67">
        <v>156.80000000000001</v>
      </c>
      <c r="K67">
        <v>116.1</v>
      </c>
      <c r="L67">
        <v>103.1</v>
      </c>
      <c r="M67">
        <v>118.1</v>
      </c>
      <c r="N67">
        <v>116.1</v>
      </c>
      <c r="O67">
        <v>124.5</v>
      </c>
      <c r="P67">
        <v>125.4</v>
      </c>
      <c r="Q67">
        <v>121.1</v>
      </c>
      <c r="R67">
        <v>121.5</v>
      </c>
      <c r="S67">
        <v>118.1</v>
      </c>
      <c r="T67">
        <v>121</v>
      </c>
      <c r="U67">
        <v>116.7</v>
      </c>
      <c r="V67">
        <v>114.7</v>
      </c>
      <c r="W67">
        <v>116.7</v>
      </c>
      <c r="X67">
        <v>114.3</v>
      </c>
      <c r="Y67">
        <v>111.8</v>
      </c>
      <c r="Z67">
        <v>113.3</v>
      </c>
      <c r="AA67">
        <v>118.8</v>
      </c>
      <c r="AB67">
        <v>109.6</v>
      </c>
      <c r="AC67">
        <v>113.9</v>
      </c>
      <c r="AD67">
        <v>120.1</v>
      </c>
    </row>
    <row r="68" spans="1:30" x14ac:dyDescent="0.25">
      <c r="A68" t="s">
        <v>30</v>
      </c>
      <c r="B68">
        <v>2014</v>
      </c>
      <c r="C68" t="s">
        <v>45</v>
      </c>
      <c r="D68">
        <v>122.7</v>
      </c>
      <c r="E68">
        <v>122.6</v>
      </c>
      <c r="F68">
        <v>119.9</v>
      </c>
      <c r="G68">
        <v>124</v>
      </c>
      <c r="H68">
        <v>110.5</v>
      </c>
      <c r="I68">
        <v>128.80000000000001</v>
      </c>
      <c r="J68">
        <v>152</v>
      </c>
      <c r="K68">
        <v>116.2</v>
      </c>
      <c r="L68">
        <v>103.3</v>
      </c>
      <c r="M68">
        <v>115.8</v>
      </c>
      <c r="N68">
        <v>116.8</v>
      </c>
      <c r="O68">
        <v>124.5</v>
      </c>
      <c r="P68">
        <v>124.9</v>
      </c>
      <c r="Q68">
        <v>120.8</v>
      </c>
      <c r="R68">
        <v>123.3</v>
      </c>
      <c r="S68">
        <v>120.5</v>
      </c>
      <c r="T68">
        <v>122.9</v>
      </c>
      <c r="U68" t="s">
        <v>32</v>
      </c>
      <c r="V68">
        <v>117.3</v>
      </c>
      <c r="W68">
        <v>118.1</v>
      </c>
      <c r="X68">
        <v>115.9</v>
      </c>
      <c r="Y68">
        <v>112</v>
      </c>
      <c r="Z68">
        <v>113.3</v>
      </c>
      <c r="AA68">
        <v>117.2</v>
      </c>
      <c r="AB68">
        <v>108.8</v>
      </c>
      <c r="AC68">
        <v>114.1</v>
      </c>
      <c r="AD68">
        <v>121.1</v>
      </c>
    </row>
    <row r="69" spans="1:30" x14ac:dyDescent="0.25">
      <c r="A69" t="s">
        <v>33</v>
      </c>
      <c r="B69">
        <v>2014</v>
      </c>
      <c r="C69" t="s">
        <v>45</v>
      </c>
      <c r="D69">
        <v>124.5</v>
      </c>
      <c r="E69">
        <v>125.6</v>
      </c>
      <c r="F69">
        <v>122.7</v>
      </c>
      <c r="G69">
        <v>124.6</v>
      </c>
      <c r="H69">
        <v>103.2</v>
      </c>
      <c r="I69">
        <v>122.2</v>
      </c>
      <c r="J69">
        <v>153.19999999999999</v>
      </c>
      <c r="K69">
        <v>119.3</v>
      </c>
      <c r="L69">
        <v>99.8</v>
      </c>
      <c r="M69">
        <v>124.6</v>
      </c>
      <c r="N69">
        <v>115.8</v>
      </c>
      <c r="O69">
        <v>126.9</v>
      </c>
      <c r="P69">
        <v>125.4</v>
      </c>
      <c r="Q69">
        <v>125.8</v>
      </c>
      <c r="R69">
        <v>120.3</v>
      </c>
      <c r="S69">
        <v>115.4</v>
      </c>
      <c r="T69">
        <v>119.5</v>
      </c>
      <c r="U69">
        <v>117.1</v>
      </c>
      <c r="V69">
        <v>112.6</v>
      </c>
      <c r="W69">
        <v>116.4</v>
      </c>
      <c r="X69">
        <v>113</v>
      </c>
      <c r="Y69">
        <v>109.7</v>
      </c>
      <c r="Z69">
        <v>114</v>
      </c>
      <c r="AA69">
        <v>120.3</v>
      </c>
      <c r="AB69">
        <v>109.6</v>
      </c>
      <c r="AC69">
        <v>113.4</v>
      </c>
      <c r="AD69">
        <v>119</v>
      </c>
    </row>
    <row r="70" spans="1:30" x14ac:dyDescent="0.25">
      <c r="A70" t="s">
        <v>34</v>
      </c>
      <c r="B70">
        <v>2014</v>
      </c>
      <c r="C70" t="s">
        <v>45</v>
      </c>
      <c r="D70">
        <v>123.3</v>
      </c>
      <c r="E70">
        <v>123.7</v>
      </c>
      <c r="F70">
        <v>121</v>
      </c>
      <c r="G70">
        <v>124.2</v>
      </c>
      <c r="H70">
        <v>107.8</v>
      </c>
      <c r="I70">
        <v>125.7</v>
      </c>
      <c r="J70">
        <v>152.4</v>
      </c>
      <c r="K70">
        <v>117.2</v>
      </c>
      <c r="L70">
        <v>102.1</v>
      </c>
      <c r="M70">
        <v>118.7</v>
      </c>
      <c r="N70">
        <v>116.4</v>
      </c>
      <c r="O70">
        <v>125.6</v>
      </c>
      <c r="P70">
        <v>125.1</v>
      </c>
      <c r="Q70">
        <v>122.1</v>
      </c>
      <c r="R70">
        <v>122.1</v>
      </c>
      <c r="S70">
        <v>118.4</v>
      </c>
      <c r="T70">
        <v>121.6</v>
      </c>
      <c r="U70">
        <v>117.1</v>
      </c>
      <c r="V70">
        <v>115.5</v>
      </c>
      <c r="W70">
        <v>117.3</v>
      </c>
      <c r="X70">
        <v>114.8</v>
      </c>
      <c r="Y70">
        <v>110.8</v>
      </c>
      <c r="Z70">
        <v>113.7</v>
      </c>
      <c r="AA70">
        <v>119</v>
      </c>
      <c r="AB70">
        <v>109.1</v>
      </c>
      <c r="AC70">
        <v>113.8</v>
      </c>
      <c r="AD70">
        <v>120.1</v>
      </c>
    </row>
    <row r="71" spans="1:30" x14ac:dyDescent="0.25">
      <c r="A71" t="s">
        <v>30</v>
      </c>
      <c r="B71">
        <v>2014</v>
      </c>
      <c r="C71" t="s">
        <v>46</v>
      </c>
      <c r="D71">
        <v>122.4</v>
      </c>
      <c r="E71">
        <v>122.4</v>
      </c>
      <c r="F71">
        <v>121.8</v>
      </c>
      <c r="G71">
        <v>124.2</v>
      </c>
      <c r="H71">
        <v>110.2</v>
      </c>
      <c r="I71">
        <v>128.6</v>
      </c>
      <c r="J71">
        <v>140.30000000000001</v>
      </c>
      <c r="K71">
        <v>116.3</v>
      </c>
      <c r="L71">
        <v>102</v>
      </c>
      <c r="M71">
        <v>116</v>
      </c>
      <c r="N71">
        <v>117.3</v>
      </c>
      <c r="O71">
        <v>124.8</v>
      </c>
      <c r="P71">
        <v>123.3</v>
      </c>
      <c r="Q71">
        <v>121.7</v>
      </c>
      <c r="R71">
        <v>123.8</v>
      </c>
      <c r="S71">
        <v>120.6</v>
      </c>
      <c r="T71">
        <v>123.3</v>
      </c>
      <c r="U71" t="s">
        <v>32</v>
      </c>
      <c r="V71">
        <v>117.4</v>
      </c>
      <c r="W71">
        <v>118.2</v>
      </c>
      <c r="X71">
        <v>116.2</v>
      </c>
      <c r="Y71">
        <v>111.5</v>
      </c>
      <c r="Z71">
        <v>113.3</v>
      </c>
      <c r="AA71">
        <v>117.7</v>
      </c>
      <c r="AB71">
        <v>109.4</v>
      </c>
      <c r="AC71">
        <v>114.2</v>
      </c>
      <c r="AD71">
        <v>120.3</v>
      </c>
    </row>
    <row r="72" spans="1:30" x14ac:dyDescent="0.25">
      <c r="A72" t="s">
        <v>33</v>
      </c>
      <c r="B72">
        <v>2014</v>
      </c>
      <c r="C72" t="s">
        <v>46</v>
      </c>
      <c r="D72">
        <v>124</v>
      </c>
      <c r="E72">
        <v>124.7</v>
      </c>
      <c r="F72">
        <v>126.3</v>
      </c>
      <c r="G72">
        <v>124.9</v>
      </c>
      <c r="H72">
        <v>103</v>
      </c>
      <c r="I72">
        <v>122.3</v>
      </c>
      <c r="J72">
        <v>141</v>
      </c>
      <c r="K72">
        <v>120.1</v>
      </c>
      <c r="L72">
        <v>97.8</v>
      </c>
      <c r="M72">
        <v>125.4</v>
      </c>
      <c r="N72">
        <v>116.1</v>
      </c>
      <c r="O72">
        <v>127.6</v>
      </c>
      <c r="P72">
        <v>124</v>
      </c>
      <c r="Q72">
        <v>126.4</v>
      </c>
      <c r="R72">
        <v>120.7</v>
      </c>
      <c r="S72">
        <v>115.8</v>
      </c>
      <c r="T72">
        <v>120</v>
      </c>
      <c r="U72">
        <v>116.5</v>
      </c>
      <c r="V72">
        <v>113</v>
      </c>
      <c r="W72">
        <v>116.8</v>
      </c>
      <c r="X72">
        <v>113.2</v>
      </c>
      <c r="Y72">
        <v>108.8</v>
      </c>
      <c r="Z72">
        <v>114.3</v>
      </c>
      <c r="AA72">
        <v>120.7</v>
      </c>
      <c r="AB72">
        <v>110.4</v>
      </c>
      <c r="AC72">
        <v>113.4</v>
      </c>
      <c r="AD72">
        <v>118.4</v>
      </c>
    </row>
    <row r="73" spans="1:30" x14ac:dyDescent="0.25">
      <c r="A73" t="s">
        <v>34</v>
      </c>
      <c r="B73">
        <v>2014</v>
      </c>
      <c r="C73" t="s">
        <v>46</v>
      </c>
      <c r="D73">
        <v>122.9</v>
      </c>
      <c r="E73">
        <v>123.2</v>
      </c>
      <c r="F73">
        <v>123.5</v>
      </c>
      <c r="G73">
        <v>124.5</v>
      </c>
      <c r="H73">
        <v>107.6</v>
      </c>
      <c r="I73">
        <v>125.7</v>
      </c>
      <c r="J73">
        <v>140.5</v>
      </c>
      <c r="K73">
        <v>117.6</v>
      </c>
      <c r="L73">
        <v>100.6</v>
      </c>
      <c r="M73">
        <v>119.1</v>
      </c>
      <c r="N73">
        <v>116.8</v>
      </c>
      <c r="O73">
        <v>126.1</v>
      </c>
      <c r="P73">
        <v>123.6</v>
      </c>
      <c r="Q73">
        <v>123</v>
      </c>
      <c r="R73">
        <v>122.6</v>
      </c>
      <c r="S73">
        <v>118.6</v>
      </c>
      <c r="T73">
        <v>122</v>
      </c>
      <c r="U73">
        <v>116.5</v>
      </c>
      <c r="V73">
        <v>115.7</v>
      </c>
      <c r="W73">
        <v>117.5</v>
      </c>
      <c r="X73">
        <v>115.1</v>
      </c>
      <c r="Y73">
        <v>110.1</v>
      </c>
      <c r="Z73">
        <v>113.9</v>
      </c>
      <c r="AA73">
        <v>119.5</v>
      </c>
      <c r="AB73">
        <v>109.8</v>
      </c>
      <c r="AC73">
        <v>113.8</v>
      </c>
      <c r="AD73">
        <v>119.4</v>
      </c>
    </row>
    <row r="74" spans="1:30" x14ac:dyDescent="0.25">
      <c r="A74" t="s">
        <v>30</v>
      </c>
      <c r="B74">
        <v>2015</v>
      </c>
      <c r="C74" t="s">
        <v>31</v>
      </c>
      <c r="D74">
        <v>123.1</v>
      </c>
      <c r="E74">
        <v>123.1</v>
      </c>
      <c r="F74">
        <v>122.1</v>
      </c>
      <c r="G74">
        <v>124.9</v>
      </c>
      <c r="H74">
        <v>111</v>
      </c>
      <c r="I74">
        <v>130.4</v>
      </c>
      <c r="J74">
        <v>132.30000000000001</v>
      </c>
      <c r="K74">
        <v>117.2</v>
      </c>
      <c r="L74">
        <v>100.5</v>
      </c>
      <c r="M74">
        <v>117.2</v>
      </c>
      <c r="N74">
        <v>117.9</v>
      </c>
      <c r="O74">
        <v>125.6</v>
      </c>
      <c r="P74">
        <v>122.8</v>
      </c>
      <c r="Q74">
        <v>122.7</v>
      </c>
      <c r="R74">
        <v>124.4</v>
      </c>
      <c r="S74">
        <v>121.6</v>
      </c>
      <c r="T74">
        <v>124</v>
      </c>
      <c r="U74" t="s">
        <v>32</v>
      </c>
      <c r="V74">
        <v>118.4</v>
      </c>
      <c r="W74">
        <v>118.9</v>
      </c>
      <c r="X74">
        <v>116.6</v>
      </c>
      <c r="Y74">
        <v>111</v>
      </c>
      <c r="Z74">
        <v>114</v>
      </c>
      <c r="AA74">
        <v>118.2</v>
      </c>
      <c r="AB74">
        <v>110.2</v>
      </c>
      <c r="AC74">
        <v>114.5</v>
      </c>
      <c r="AD74">
        <v>120.3</v>
      </c>
    </row>
    <row r="75" spans="1:30" x14ac:dyDescent="0.25">
      <c r="A75" t="s">
        <v>33</v>
      </c>
      <c r="B75">
        <v>2015</v>
      </c>
      <c r="C75" t="s">
        <v>31</v>
      </c>
      <c r="D75">
        <v>124</v>
      </c>
      <c r="E75">
        <v>125.5</v>
      </c>
      <c r="F75">
        <v>126.6</v>
      </c>
      <c r="G75">
        <v>125.2</v>
      </c>
      <c r="H75">
        <v>104.3</v>
      </c>
      <c r="I75">
        <v>121.3</v>
      </c>
      <c r="J75">
        <v>134.4</v>
      </c>
      <c r="K75">
        <v>122.9</v>
      </c>
      <c r="L75">
        <v>96.1</v>
      </c>
      <c r="M75">
        <v>126.6</v>
      </c>
      <c r="N75">
        <v>116.5</v>
      </c>
      <c r="O75">
        <v>128</v>
      </c>
      <c r="P75">
        <v>123.5</v>
      </c>
      <c r="Q75">
        <v>127.4</v>
      </c>
      <c r="R75">
        <v>121</v>
      </c>
      <c r="S75">
        <v>116.1</v>
      </c>
      <c r="T75">
        <v>120.2</v>
      </c>
      <c r="U75">
        <v>117.3</v>
      </c>
      <c r="V75">
        <v>113.4</v>
      </c>
      <c r="W75">
        <v>117.2</v>
      </c>
      <c r="X75">
        <v>113.7</v>
      </c>
      <c r="Y75">
        <v>107.9</v>
      </c>
      <c r="Z75">
        <v>114.6</v>
      </c>
      <c r="AA75">
        <v>120.8</v>
      </c>
      <c r="AB75">
        <v>111.4</v>
      </c>
      <c r="AC75">
        <v>113.4</v>
      </c>
      <c r="AD75">
        <v>118.5</v>
      </c>
    </row>
    <row r="76" spans="1:30" x14ac:dyDescent="0.25">
      <c r="A76" t="s">
        <v>34</v>
      </c>
      <c r="B76">
        <v>2015</v>
      </c>
      <c r="C76" t="s">
        <v>31</v>
      </c>
      <c r="D76">
        <v>123.4</v>
      </c>
      <c r="E76">
        <v>123.9</v>
      </c>
      <c r="F76">
        <v>123.8</v>
      </c>
      <c r="G76">
        <v>125</v>
      </c>
      <c r="H76">
        <v>108.5</v>
      </c>
      <c r="I76">
        <v>126.2</v>
      </c>
      <c r="J76">
        <v>133</v>
      </c>
      <c r="K76">
        <v>119.1</v>
      </c>
      <c r="L76">
        <v>99</v>
      </c>
      <c r="M76">
        <v>120.3</v>
      </c>
      <c r="N76">
        <v>117.3</v>
      </c>
      <c r="O76">
        <v>126.7</v>
      </c>
      <c r="P76">
        <v>123.1</v>
      </c>
      <c r="Q76">
        <v>124</v>
      </c>
      <c r="R76">
        <v>123.1</v>
      </c>
      <c r="S76">
        <v>119.3</v>
      </c>
      <c r="T76">
        <v>122.5</v>
      </c>
      <c r="U76">
        <v>117.3</v>
      </c>
      <c r="V76">
        <v>116.5</v>
      </c>
      <c r="W76">
        <v>118.1</v>
      </c>
      <c r="X76">
        <v>115.5</v>
      </c>
      <c r="Y76">
        <v>109.4</v>
      </c>
      <c r="Z76">
        <v>114.3</v>
      </c>
      <c r="AA76">
        <v>119.7</v>
      </c>
      <c r="AB76">
        <v>110.7</v>
      </c>
      <c r="AC76">
        <v>114</v>
      </c>
      <c r="AD76">
        <v>119.5</v>
      </c>
    </row>
    <row r="77" spans="1:30" x14ac:dyDescent="0.25">
      <c r="A77" t="s">
        <v>30</v>
      </c>
      <c r="B77">
        <v>2015</v>
      </c>
      <c r="C77" t="s">
        <v>35</v>
      </c>
      <c r="D77">
        <v>123.4</v>
      </c>
      <c r="E77">
        <v>124.4</v>
      </c>
      <c r="F77">
        <v>122.1</v>
      </c>
      <c r="G77">
        <v>125.8</v>
      </c>
      <c r="H77">
        <v>111.5</v>
      </c>
      <c r="I77">
        <v>129.4</v>
      </c>
      <c r="J77">
        <v>128.19999999999999</v>
      </c>
      <c r="K77">
        <v>118.8</v>
      </c>
      <c r="L77">
        <v>100</v>
      </c>
      <c r="M77">
        <v>118.6</v>
      </c>
      <c r="N77">
        <v>118.8</v>
      </c>
      <c r="O77">
        <v>126.8</v>
      </c>
      <c r="P77">
        <v>122.8</v>
      </c>
      <c r="Q77">
        <v>124.2</v>
      </c>
      <c r="R77">
        <v>125.4</v>
      </c>
      <c r="S77">
        <v>122.7</v>
      </c>
      <c r="T77">
        <v>125</v>
      </c>
      <c r="U77" t="s">
        <v>32</v>
      </c>
      <c r="V77">
        <v>120</v>
      </c>
      <c r="W77">
        <v>119.6</v>
      </c>
      <c r="X77">
        <v>117.7</v>
      </c>
      <c r="Y77">
        <v>110.9</v>
      </c>
      <c r="Z77">
        <v>114.8</v>
      </c>
      <c r="AA77">
        <v>118.7</v>
      </c>
      <c r="AB77">
        <v>110.8</v>
      </c>
      <c r="AC77">
        <v>115</v>
      </c>
      <c r="AD77">
        <v>120.6</v>
      </c>
    </row>
    <row r="78" spans="1:30" x14ac:dyDescent="0.25">
      <c r="A78" t="s">
        <v>33</v>
      </c>
      <c r="B78">
        <v>2015</v>
      </c>
      <c r="C78" t="s">
        <v>35</v>
      </c>
      <c r="D78">
        <v>124.3</v>
      </c>
      <c r="E78">
        <v>126.5</v>
      </c>
      <c r="F78">
        <v>119.5</v>
      </c>
      <c r="G78">
        <v>125.6</v>
      </c>
      <c r="H78">
        <v>104.9</v>
      </c>
      <c r="I78">
        <v>121.6</v>
      </c>
      <c r="J78">
        <v>131.80000000000001</v>
      </c>
      <c r="K78">
        <v>125.1</v>
      </c>
      <c r="L78">
        <v>95</v>
      </c>
      <c r="M78">
        <v>127.7</v>
      </c>
      <c r="N78">
        <v>116.8</v>
      </c>
      <c r="O78">
        <v>128.6</v>
      </c>
      <c r="P78">
        <v>123.7</v>
      </c>
      <c r="Q78">
        <v>128.1</v>
      </c>
      <c r="R78">
        <v>121.3</v>
      </c>
      <c r="S78">
        <v>116.5</v>
      </c>
      <c r="T78">
        <v>120.6</v>
      </c>
      <c r="U78">
        <v>118.1</v>
      </c>
      <c r="V78">
        <v>114</v>
      </c>
      <c r="W78">
        <v>117.7</v>
      </c>
      <c r="X78">
        <v>114.1</v>
      </c>
      <c r="Y78">
        <v>106.8</v>
      </c>
      <c r="Z78">
        <v>114.9</v>
      </c>
      <c r="AA78">
        <v>120.4</v>
      </c>
      <c r="AB78">
        <v>111.7</v>
      </c>
      <c r="AC78">
        <v>113.2</v>
      </c>
      <c r="AD78">
        <v>118.7</v>
      </c>
    </row>
    <row r="79" spans="1:30" x14ac:dyDescent="0.25">
      <c r="A79" t="s">
        <v>34</v>
      </c>
      <c r="B79">
        <v>2015</v>
      </c>
      <c r="C79" t="s">
        <v>35</v>
      </c>
      <c r="D79">
        <v>123.7</v>
      </c>
      <c r="E79">
        <v>125.1</v>
      </c>
      <c r="F79">
        <v>121.1</v>
      </c>
      <c r="G79">
        <v>125.7</v>
      </c>
      <c r="H79">
        <v>109.1</v>
      </c>
      <c r="I79">
        <v>125.8</v>
      </c>
      <c r="J79">
        <v>129.4</v>
      </c>
      <c r="K79">
        <v>120.9</v>
      </c>
      <c r="L79">
        <v>98.3</v>
      </c>
      <c r="M79">
        <v>121.6</v>
      </c>
      <c r="N79">
        <v>118</v>
      </c>
      <c r="O79">
        <v>127.6</v>
      </c>
      <c r="P79">
        <v>123.1</v>
      </c>
      <c r="Q79">
        <v>125.2</v>
      </c>
      <c r="R79">
        <v>123.8</v>
      </c>
      <c r="S79">
        <v>120.1</v>
      </c>
      <c r="T79">
        <v>123.3</v>
      </c>
      <c r="U79">
        <v>118.1</v>
      </c>
      <c r="V79">
        <v>117.7</v>
      </c>
      <c r="W79">
        <v>118.7</v>
      </c>
      <c r="X79">
        <v>116.3</v>
      </c>
      <c r="Y79">
        <v>108.7</v>
      </c>
      <c r="Z79">
        <v>114.9</v>
      </c>
      <c r="AA79">
        <v>119.7</v>
      </c>
      <c r="AB79">
        <v>111.2</v>
      </c>
      <c r="AC79">
        <v>114.1</v>
      </c>
      <c r="AD79">
        <v>119.7</v>
      </c>
    </row>
    <row r="80" spans="1:30" x14ac:dyDescent="0.25">
      <c r="A80" t="s">
        <v>30</v>
      </c>
      <c r="B80">
        <v>2015</v>
      </c>
      <c r="C80" t="s">
        <v>36</v>
      </c>
      <c r="D80">
        <v>123.3</v>
      </c>
      <c r="E80">
        <v>124.7</v>
      </c>
      <c r="F80">
        <v>118.9</v>
      </c>
      <c r="G80">
        <v>126</v>
      </c>
      <c r="H80">
        <v>111.8</v>
      </c>
      <c r="I80">
        <v>130.9</v>
      </c>
      <c r="J80">
        <v>128</v>
      </c>
      <c r="K80">
        <v>119.9</v>
      </c>
      <c r="L80">
        <v>98.9</v>
      </c>
      <c r="M80">
        <v>119.4</v>
      </c>
      <c r="N80">
        <v>118.9</v>
      </c>
      <c r="O80">
        <v>127.7</v>
      </c>
      <c r="P80">
        <v>123.1</v>
      </c>
      <c r="Q80">
        <v>124.7</v>
      </c>
      <c r="R80">
        <v>126</v>
      </c>
      <c r="S80">
        <v>122.9</v>
      </c>
      <c r="T80">
        <v>125.5</v>
      </c>
      <c r="U80" t="s">
        <v>32</v>
      </c>
      <c r="V80">
        <v>120.6</v>
      </c>
      <c r="W80">
        <v>120.2</v>
      </c>
      <c r="X80">
        <v>118.2</v>
      </c>
      <c r="Y80">
        <v>111.6</v>
      </c>
      <c r="Z80">
        <v>115.5</v>
      </c>
      <c r="AA80">
        <v>119.4</v>
      </c>
      <c r="AB80">
        <v>110.8</v>
      </c>
      <c r="AC80">
        <v>115.5</v>
      </c>
      <c r="AD80">
        <v>121.1</v>
      </c>
    </row>
    <row r="81" spans="1:30" x14ac:dyDescent="0.25">
      <c r="A81" t="s">
        <v>33</v>
      </c>
      <c r="B81">
        <v>2015</v>
      </c>
      <c r="C81" t="s">
        <v>36</v>
      </c>
      <c r="D81">
        <v>124</v>
      </c>
      <c r="E81">
        <v>126.7</v>
      </c>
      <c r="F81">
        <v>113.5</v>
      </c>
      <c r="G81">
        <v>125.9</v>
      </c>
      <c r="H81">
        <v>104.8</v>
      </c>
      <c r="I81">
        <v>123.8</v>
      </c>
      <c r="J81">
        <v>131.4</v>
      </c>
      <c r="K81">
        <v>127.2</v>
      </c>
      <c r="L81">
        <v>93.2</v>
      </c>
      <c r="M81">
        <v>127.4</v>
      </c>
      <c r="N81">
        <v>117</v>
      </c>
      <c r="O81">
        <v>129.19999999999999</v>
      </c>
      <c r="P81">
        <v>123.9</v>
      </c>
      <c r="Q81">
        <v>128.80000000000001</v>
      </c>
      <c r="R81">
        <v>121.7</v>
      </c>
      <c r="S81">
        <v>116.9</v>
      </c>
      <c r="T81">
        <v>120.9</v>
      </c>
      <c r="U81">
        <v>118.6</v>
      </c>
      <c r="V81">
        <v>114.4</v>
      </c>
      <c r="W81">
        <v>118</v>
      </c>
      <c r="X81">
        <v>114.3</v>
      </c>
      <c r="Y81">
        <v>108.4</v>
      </c>
      <c r="Z81">
        <v>115.4</v>
      </c>
      <c r="AA81">
        <v>120.6</v>
      </c>
      <c r="AB81">
        <v>111.3</v>
      </c>
      <c r="AC81">
        <v>113.8</v>
      </c>
      <c r="AD81">
        <v>119.1</v>
      </c>
    </row>
    <row r="82" spans="1:30" x14ac:dyDescent="0.25">
      <c r="A82" t="s">
        <v>34</v>
      </c>
      <c r="B82">
        <v>2015</v>
      </c>
      <c r="C82" t="s">
        <v>36</v>
      </c>
      <c r="D82">
        <v>123.5</v>
      </c>
      <c r="E82">
        <v>125.4</v>
      </c>
      <c r="F82">
        <v>116.8</v>
      </c>
      <c r="G82">
        <v>126</v>
      </c>
      <c r="H82">
        <v>109.2</v>
      </c>
      <c r="I82">
        <v>127.6</v>
      </c>
      <c r="J82">
        <v>129.19999999999999</v>
      </c>
      <c r="K82">
        <v>122.4</v>
      </c>
      <c r="L82">
        <v>97</v>
      </c>
      <c r="M82">
        <v>122.1</v>
      </c>
      <c r="N82">
        <v>118.1</v>
      </c>
      <c r="O82">
        <v>128.4</v>
      </c>
      <c r="P82">
        <v>123.4</v>
      </c>
      <c r="Q82">
        <v>125.8</v>
      </c>
      <c r="R82">
        <v>124.3</v>
      </c>
      <c r="S82">
        <v>120.4</v>
      </c>
      <c r="T82">
        <v>123.7</v>
      </c>
      <c r="U82">
        <v>118.6</v>
      </c>
      <c r="V82">
        <v>118.3</v>
      </c>
      <c r="W82">
        <v>119.2</v>
      </c>
      <c r="X82">
        <v>116.7</v>
      </c>
      <c r="Y82">
        <v>109.9</v>
      </c>
      <c r="Z82">
        <v>115.4</v>
      </c>
      <c r="AA82">
        <v>120.1</v>
      </c>
      <c r="AB82">
        <v>111</v>
      </c>
      <c r="AC82">
        <v>114.7</v>
      </c>
      <c r="AD82">
        <v>120.2</v>
      </c>
    </row>
    <row r="83" spans="1:30" x14ac:dyDescent="0.25">
      <c r="A83" t="s">
        <v>30</v>
      </c>
      <c r="B83">
        <v>2015</v>
      </c>
      <c r="C83" t="s">
        <v>37</v>
      </c>
      <c r="D83">
        <v>123.3</v>
      </c>
      <c r="E83">
        <v>125.5</v>
      </c>
      <c r="F83">
        <v>117.2</v>
      </c>
      <c r="G83">
        <v>126.8</v>
      </c>
      <c r="H83">
        <v>111.9</v>
      </c>
      <c r="I83">
        <v>134.19999999999999</v>
      </c>
      <c r="J83">
        <v>127.5</v>
      </c>
      <c r="K83">
        <v>121.5</v>
      </c>
      <c r="L83">
        <v>97.8</v>
      </c>
      <c r="M83">
        <v>119.8</v>
      </c>
      <c r="N83">
        <v>119.4</v>
      </c>
      <c r="O83">
        <v>128.69999999999999</v>
      </c>
      <c r="P83">
        <v>123.6</v>
      </c>
      <c r="Q83">
        <v>125.7</v>
      </c>
      <c r="R83">
        <v>126.4</v>
      </c>
      <c r="S83">
        <v>123.3</v>
      </c>
      <c r="T83">
        <v>126</v>
      </c>
      <c r="U83" t="s">
        <v>32</v>
      </c>
      <c r="V83">
        <v>121.2</v>
      </c>
      <c r="W83">
        <v>120.9</v>
      </c>
      <c r="X83">
        <v>118.6</v>
      </c>
      <c r="Y83">
        <v>111.9</v>
      </c>
      <c r="Z83">
        <v>116.2</v>
      </c>
      <c r="AA83">
        <v>119.9</v>
      </c>
      <c r="AB83">
        <v>111.6</v>
      </c>
      <c r="AC83">
        <v>116</v>
      </c>
      <c r="AD83">
        <v>121.5</v>
      </c>
    </row>
    <row r="84" spans="1:30" x14ac:dyDescent="0.25">
      <c r="A84" t="s">
        <v>33</v>
      </c>
      <c r="B84">
        <v>2015</v>
      </c>
      <c r="C84" t="s">
        <v>37</v>
      </c>
      <c r="D84">
        <v>123.8</v>
      </c>
      <c r="E84">
        <v>128.19999999999999</v>
      </c>
      <c r="F84">
        <v>110</v>
      </c>
      <c r="G84">
        <v>126.3</v>
      </c>
      <c r="H84">
        <v>104.5</v>
      </c>
      <c r="I84">
        <v>130.6</v>
      </c>
      <c r="J84">
        <v>130.80000000000001</v>
      </c>
      <c r="K84">
        <v>131.30000000000001</v>
      </c>
      <c r="L84">
        <v>91.6</v>
      </c>
      <c r="M84">
        <v>127.7</v>
      </c>
      <c r="N84">
        <v>117.2</v>
      </c>
      <c r="O84">
        <v>129.5</v>
      </c>
      <c r="P84">
        <v>124.6</v>
      </c>
      <c r="Q84">
        <v>130.1</v>
      </c>
      <c r="R84">
        <v>122.1</v>
      </c>
      <c r="S84">
        <v>117.2</v>
      </c>
      <c r="T84">
        <v>121.3</v>
      </c>
      <c r="U84">
        <v>119.2</v>
      </c>
      <c r="V84">
        <v>114.7</v>
      </c>
      <c r="W84">
        <v>118.4</v>
      </c>
      <c r="X84">
        <v>114.6</v>
      </c>
      <c r="Y84">
        <v>108.4</v>
      </c>
      <c r="Z84">
        <v>115.6</v>
      </c>
      <c r="AA84">
        <v>121.7</v>
      </c>
      <c r="AB84">
        <v>111.8</v>
      </c>
      <c r="AC84">
        <v>114.2</v>
      </c>
      <c r="AD84">
        <v>119.7</v>
      </c>
    </row>
    <row r="85" spans="1:30" x14ac:dyDescent="0.25">
      <c r="A85" t="s">
        <v>34</v>
      </c>
      <c r="B85">
        <v>2015</v>
      </c>
      <c r="C85" t="s">
        <v>37</v>
      </c>
      <c r="D85">
        <v>123.5</v>
      </c>
      <c r="E85">
        <v>126.4</v>
      </c>
      <c r="F85">
        <v>114.4</v>
      </c>
      <c r="G85">
        <v>126.6</v>
      </c>
      <c r="H85">
        <v>109.2</v>
      </c>
      <c r="I85">
        <v>132.5</v>
      </c>
      <c r="J85">
        <v>128.6</v>
      </c>
      <c r="K85">
        <v>124.8</v>
      </c>
      <c r="L85">
        <v>95.7</v>
      </c>
      <c r="M85">
        <v>122.4</v>
      </c>
      <c r="N85">
        <v>118.5</v>
      </c>
      <c r="O85">
        <v>129.1</v>
      </c>
      <c r="P85">
        <v>124</v>
      </c>
      <c r="Q85">
        <v>126.9</v>
      </c>
      <c r="R85">
        <v>124.7</v>
      </c>
      <c r="S85">
        <v>120.8</v>
      </c>
      <c r="T85">
        <v>124.1</v>
      </c>
      <c r="U85">
        <v>119.2</v>
      </c>
      <c r="V85">
        <v>118.7</v>
      </c>
      <c r="W85">
        <v>119.7</v>
      </c>
      <c r="X85">
        <v>117.1</v>
      </c>
      <c r="Y85">
        <v>110.1</v>
      </c>
      <c r="Z85">
        <v>115.9</v>
      </c>
      <c r="AA85">
        <v>121</v>
      </c>
      <c r="AB85">
        <v>111.7</v>
      </c>
      <c r="AC85">
        <v>115.1</v>
      </c>
      <c r="AD85">
        <v>120.7</v>
      </c>
    </row>
    <row r="86" spans="1:30" x14ac:dyDescent="0.25">
      <c r="A86" t="s">
        <v>30</v>
      </c>
      <c r="B86">
        <v>2015</v>
      </c>
      <c r="C86" t="s">
        <v>38</v>
      </c>
      <c r="D86">
        <v>123.5</v>
      </c>
      <c r="E86">
        <v>127.1</v>
      </c>
      <c r="F86">
        <v>117.3</v>
      </c>
      <c r="G86">
        <v>127.7</v>
      </c>
      <c r="H86">
        <v>112.5</v>
      </c>
      <c r="I86">
        <v>134.1</v>
      </c>
      <c r="J86">
        <v>128.5</v>
      </c>
      <c r="K86">
        <v>124.3</v>
      </c>
      <c r="L86">
        <v>97.6</v>
      </c>
      <c r="M86">
        <v>120.7</v>
      </c>
      <c r="N86">
        <v>120.2</v>
      </c>
      <c r="O86">
        <v>129.80000000000001</v>
      </c>
      <c r="P86">
        <v>124.4</v>
      </c>
      <c r="Q86">
        <v>126.7</v>
      </c>
      <c r="R86">
        <v>127.3</v>
      </c>
      <c r="S86">
        <v>124.1</v>
      </c>
      <c r="T86">
        <v>126.8</v>
      </c>
      <c r="U86" t="s">
        <v>32</v>
      </c>
      <c r="V86">
        <v>121.9</v>
      </c>
      <c r="W86">
        <v>121.5</v>
      </c>
      <c r="X86">
        <v>119.4</v>
      </c>
      <c r="Y86">
        <v>113.3</v>
      </c>
      <c r="Z86">
        <v>116.7</v>
      </c>
      <c r="AA86">
        <v>120.5</v>
      </c>
      <c r="AB86">
        <v>112.3</v>
      </c>
      <c r="AC86">
        <v>116.9</v>
      </c>
      <c r="AD86">
        <v>122.4</v>
      </c>
    </row>
    <row r="87" spans="1:30" x14ac:dyDescent="0.25">
      <c r="A87" t="s">
        <v>33</v>
      </c>
      <c r="B87">
        <v>2015</v>
      </c>
      <c r="C87" t="s">
        <v>38</v>
      </c>
      <c r="D87">
        <v>123.8</v>
      </c>
      <c r="E87">
        <v>129.69999999999999</v>
      </c>
      <c r="F87">
        <v>111.3</v>
      </c>
      <c r="G87">
        <v>126.6</v>
      </c>
      <c r="H87">
        <v>105.2</v>
      </c>
      <c r="I87">
        <v>130.80000000000001</v>
      </c>
      <c r="J87">
        <v>135.6</v>
      </c>
      <c r="K87">
        <v>142.6</v>
      </c>
      <c r="L87">
        <v>90.8</v>
      </c>
      <c r="M87">
        <v>128.80000000000001</v>
      </c>
      <c r="N87">
        <v>117.7</v>
      </c>
      <c r="O87">
        <v>129.9</v>
      </c>
      <c r="P87">
        <v>126.1</v>
      </c>
      <c r="Q87">
        <v>131.30000000000001</v>
      </c>
      <c r="R87">
        <v>122.4</v>
      </c>
      <c r="S87">
        <v>117.4</v>
      </c>
      <c r="T87">
        <v>121.6</v>
      </c>
      <c r="U87">
        <v>119.6</v>
      </c>
      <c r="V87">
        <v>114.9</v>
      </c>
      <c r="W87">
        <v>118.7</v>
      </c>
      <c r="X87">
        <v>114.9</v>
      </c>
      <c r="Y87">
        <v>110.8</v>
      </c>
      <c r="Z87">
        <v>116</v>
      </c>
      <c r="AA87">
        <v>122</v>
      </c>
      <c r="AB87">
        <v>112.4</v>
      </c>
      <c r="AC87">
        <v>115.2</v>
      </c>
      <c r="AD87">
        <v>120.7</v>
      </c>
    </row>
    <row r="88" spans="1:30" x14ac:dyDescent="0.25">
      <c r="A88" t="s">
        <v>34</v>
      </c>
      <c r="B88">
        <v>2015</v>
      </c>
      <c r="C88" t="s">
        <v>38</v>
      </c>
      <c r="D88">
        <v>123.6</v>
      </c>
      <c r="E88">
        <v>128</v>
      </c>
      <c r="F88">
        <v>115</v>
      </c>
      <c r="G88">
        <v>127.3</v>
      </c>
      <c r="H88">
        <v>109.8</v>
      </c>
      <c r="I88">
        <v>132.6</v>
      </c>
      <c r="J88">
        <v>130.9</v>
      </c>
      <c r="K88">
        <v>130.5</v>
      </c>
      <c r="L88">
        <v>95.3</v>
      </c>
      <c r="M88">
        <v>123.4</v>
      </c>
      <c r="N88">
        <v>119.2</v>
      </c>
      <c r="O88">
        <v>129.80000000000001</v>
      </c>
      <c r="P88">
        <v>125</v>
      </c>
      <c r="Q88">
        <v>127.9</v>
      </c>
      <c r="R88">
        <v>125.4</v>
      </c>
      <c r="S88">
        <v>121.3</v>
      </c>
      <c r="T88">
        <v>124.7</v>
      </c>
      <c r="U88">
        <v>119.6</v>
      </c>
      <c r="V88">
        <v>119.2</v>
      </c>
      <c r="W88">
        <v>120.2</v>
      </c>
      <c r="X88">
        <v>117.7</v>
      </c>
      <c r="Y88">
        <v>112</v>
      </c>
      <c r="Z88">
        <v>116.3</v>
      </c>
      <c r="AA88">
        <v>121.4</v>
      </c>
      <c r="AB88">
        <v>112.3</v>
      </c>
      <c r="AC88">
        <v>116.1</v>
      </c>
      <c r="AD88">
        <v>121.6</v>
      </c>
    </row>
    <row r="89" spans="1:30" x14ac:dyDescent="0.25">
      <c r="A89" t="s">
        <v>30</v>
      </c>
      <c r="B89">
        <v>2015</v>
      </c>
      <c r="C89" t="s">
        <v>39</v>
      </c>
      <c r="D89">
        <v>124.1</v>
      </c>
      <c r="E89">
        <v>130.4</v>
      </c>
      <c r="F89">
        <v>122.1</v>
      </c>
      <c r="G89">
        <v>128.69999999999999</v>
      </c>
      <c r="H89">
        <v>114.1</v>
      </c>
      <c r="I89">
        <v>133.19999999999999</v>
      </c>
      <c r="J89">
        <v>135.19999999999999</v>
      </c>
      <c r="K89">
        <v>131.9</v>
      </c>
      <c r="L89">
        <v>96.3</v>
      </c>
      <c r="M89">
        <v>123</v>
      </c>
      <c r="N89">
        <v>121.1</v>
      </c>
      <c r="O89">
        <v>131.19999999999999</v>
      </c>
      <c r="P89">
        <v>126.6</v>
      </c>
      <c r="Q89">
        <v>128.19999999999999</v>
      </c>
      <c r="R89">
        <v>128.4</v>
      </c>
      <c r="S89">
        <v>125.1</v>
      </c>
      <c r="T89">
        <v>128</v>
      </c>
      <c r="U89" t="s">
        <v>32</v>
      </c>
      <c r="V89">
        <v>122.6</v>
      </c>
      <c r="W89">
        <v>122.8</v>
      </c>
      <c r="X89">
        <v>120.4</v>
      </c>
      <c r="Y89">
        <v>114.2</v>
      </c>
      <c r="Z89">
        <v>117.9</v>
      </c>
      <c r="AA89">
        <v>122</v>
      </c>
      <c r="AB89">
        <v>113</v>
      </c>
      <c r="AC89">
        <v>117.9</v>
      </c>
      <c r="AD89">
        <v>124.1</v>
      </c>
    </row>
    <row r="90" spans="1:30" x14ac:dyDescent="0.25">
      <c r="A90" t="s">
        <v>33</v>
      </c>
      <c r="B90">
        <v>2015</v>
      </c>
      <c r="C90" t="s">
        <v>39</v>
      </c>
      <c r="D90">
        <v>123.6</v>
      </c>
      <c r="E90">
        <v>134.4</v>
      </c>
      <c r="F90">
        <v>120.9</v>
      </c>
      <c r="G90">
        <v>127.3</v>
      </c>
      <c r="H90">
        <v>106</v>
      </c>
      <c r="I90">
        <v>132.30000000000001</v>
      </c>
      <c r="J90">
        <v>146.69999999999999</v>
      </c>
      <c r="K90">
        <v>148.1</v>
      </c>
      <c r="L90">
        <v>89.8</v>
      </c>
      <c r="M90">
        <v>130.5</v>
      </c>
      <c r="N90">
        <v>118</v>
      </c>
      <c r="O90">
        <v>130.5</v>
      </c>
      <c r="P90">
        <v>128.5</v>
      </c>
      <c r="Q90">
        <v>132.1</v>
      </c>
      <c r="R90">
        <v>123.2</v>
      </c>
      <c r="S90">
        <v>117.6</v>
      </c>
      <c r="T90">
        <v>122.3</v>
      </c>
      <c r="U90">
        <v>119</v>
      </c>
      <c r="V90">
        <v>115.1</v>
      </c>
      <c r="W90">
        <v>119.2</v>
      </c>
      <c r="X90">
        <v>115.4</v>
      </c>
      <c r="Y90">
        <v>111.7</v>
      </c>
      <c r="Z90">
        <v>116.2</v>
      </c>
      <c r="AA90">
        <v>123.8</v>
      </c>
      <c r="AB90">
        <v>112.5</v>
      </c>
      <c r="AC90">
        <v>116</v>
      </c>
      <c r="AD90">
        <v>121.7</v>
      </c>
    </row>
    <row r="91" spans="1:30" x14ac:dyDescent="0.25">
      <c r="A91" t="s">
        <v>34</v>
      </c>
      <c r="B91">
        <v>2015</v>
      </c>
      <c r="C91" t="s">
        <v>39</v>
      </c>
      <c r="D91">
        <v>123.9</v>
      </c>
      <c r="E91">
        <v>131.80000000000001</v>
      </c>
      <c r="F91">
        <v>121.6</v>
      </c>
      <c r="G91">
        <v>128.19999999999999</v>
      </c>
      <c r="H91">
        <v>111.1</v>
      </c>
      <c r="I91">
        <v>132.80000000000001</v>
      </c>
      <c r="J91">
        <v>139.1</v>
      </c>
      <c r="K91">
        <v>137.4</v>
      </c>
      <c r="L91">
        <v>94.1</v>
      </c>
      <c r="M91">
        <v>125.5</v>
      </c>
      <c r="N91">
        <v>119.8</v>
      </c>
      <c r="O91">
        <v>130.9</v>
      </c>
      <c r="P91">
        <v>127.3</v>
      </c>
      <c r="Q91">
        <v>129.19999999999999</v>
      </c>
      <c r="R91">
        <v>126.4</v>
      </c>
      <c r="S91">
        <v>122</v>
      </c>
      <c r="T91">
        <v>125.7</v>
      </c>
      <c r="U91">
        <v>119</v>
      </c>
      <c r="V91">
        <v>119.8</v>
      </c>
      <c r="W91">
        <v>121.1</v>
      </c>
      <c r="X91">
        <v>118.5</v>
      </c>
      <c r="Y91">
        <v>112.9</v>
      </c>
      <c r="Z91">
        <v>116.9</v>
      </c>
      <c r="AA91">
        <v>123.1</v>
      </c>
      <c r="AB91">
        <v>112.8</v>
      </c>
      <c r="AC91">
        <v>117</v>
      </c>
      <c r="AD91">
        <v>123</v>
      </c>
    </row>
    <row r="92" spans="1:30" x14ac:dyDescent="0.25">
      <c r="A92" t="s">
        <v>30</v>
      </c>
      <c r="B92">
        <v>2015</v>
      </c>
      <c r="C92" t="s">
        <v>40</v>
      </c>
      <c r="D92">
        <v>124</v>
      </c>
      <c r="E92">
        <v>131.5</v>
      </c>
      <c r="F92">
        <v>122</v>
      </c>
      <c r="G92">
        <v>128.69999999999999</v>
      </c>
      <c r="H92">
        <v>113.5</v>
      </c>
      <c r="I92">
        <v>133.30000000000001</v>
      </c>
      <c r="J92">
        <v>140.80000000000001</v>
      </c>
      <c r="K92">
        <v>133.80000000000001</v>
      </c>
      <c r="L92">
        <v>94.1</v>
      </c>
      <c r="M92">
        <v>123.4</v>
      </c>
      <c r="N92">
        <v>121</v>
      </c>
      <c r="O92">
        <v>131.69999999999999</v>
      </c>
      <c r="P92">
        <v>127.5</v>
      </c>
      <c r="Q92">
        <v>129.4</v>
      </c>
      <c r="R92">
        <v>128.80000000000001</v>
      </c>
      <c r="S92">
        <v>125.5</v>
      </c>
      <c r="T92">
        <v>128.30000000000001</v>
      </c>
      <c r="U92" t="s">
        <v>32</v>
      </c>
      <c r="V92">
        <v>123</v>
      </c>
      <c r="W92">
        <v>123</v>
      </c>
      <c r="X92">
        <v>120.8</v>
      </c>
      <c r="Y92">
        <v>114.1</v>
      </c>
      <c r="Z92">
        <v>118</v>
      </c>
      <c r="AA92">
        <v>122.9</v>
      </c>
      <c r="AB92">
        <v>112.7</v>
      </c>
      <c r="AC92">
        <v>118.1</v>
      </c>
      <c r="AD92">
        <v>124.7</v>
      </c>
    </row>
    <row r="93" spans="1:30" x14ac:dyDescent="0.25">
      <c r="A93" t="s">
        <v>33</v>
      </c>
      <c r="B93">
        <v>2015</v>
      </c>
      <c r="C93" t="s">
        <v>40</v>
      </c>
      <c r="D93">
        <v>123.2</v>
      </c>
      <c r="E93">
        <v>134.30000000000001</v>
      </c>
      <c r="F93">
        <v>119.5</v>
      </c>
      <c r="G93">
        <v>127.7</v>
      </c>
      <c r="H93">
        <v>106.3</v>
      </c>
      <c r="I93">
        <v>132.80000000000001</v>
      </c>
      <c r="J93">
        <v>153.5</v>
      </c>
      <c r="K93">
        <v>149.5</v>
      </c>
      <c r="L93">
        <v>85.7</v>
      </c>
      <c r="M93">
        <v>131.5</v>
      </c>
      <c r="N93">
        <v>118.3</v>
      </c>
      <c r="O93">
        <v>131.1</v>
      </c>
      <c r="P93">
        <v>129.5</v>
      </c>
      <c r="Q93">
        <v>133.1</v>
      </c>
      <c r="R93">
        <v>123.5</v>
      </c>
      <c r="S93">
        <v>117.9</v>
      </c>
      <c r="T93">
        <v>122.7</v>
      </c>
      <c r="U93">
        <v>119.9</v>
      </c>
      <c r="V93">
        <v>115.3</v>
      </c>
      <c r="W93">
        <v>119.5</v>
      </c>
      <c r="X93">
        <v>116</v>
      </c>
      <c r="Y93">
        <v>111.5</v>
      </c>
      <c r="Z93">
        <v>116.6</v>
      </c>
      <c r="AA93">
        <v>125.4</v>
      </c>
      <c r="AB93">
        <v>111.7</v>
      </c>
      <c r="AC93">
        <v>116.3</v>
      </c>
      <c r="AD93">
        <v>122.4</v>
      </c>
    </row>
    <row r="94" spans="1:30" x14ac:dyDescent="0.25">
      <c r="A94" t="s">
        <v>34</v>
      </c>
      <c r="B94">
        <v>2015</v>
      </c>
      <c r="C94" t="s">
        <v>40</v>
      </c>
      <c r="D94">
        <v>123.7</v>
      </c>
      <c r="E94">
        <v>132.5</v>
      </c>
      <c r="F94">
        <v>121</v>
      </c>
      <c r="G94">
        <v>128.30000000000001</v>
      </c>
      <c r="H94">
        <v>110.9</v>
      </c>
      <c r="I94">
        <v>133.1</v>
      </c>
      <c r="J94">
        <v>145.1</v>
      </c>
      <c r="K94">
        <v>139.1</v>
      </c>
      <c r="L94">
        <v>91.3</v>
      </c>
      <c r="M94">
        <v>126.1</v>
      </c>
      <c r="N94">
        <v>119.9</v>
      </c>
      <c r="O94">
        <v>131.4</v>
      </c>
      <c r="P94">
        <v>128.19999999999999</v>
      </c>
      <c r="Q94">
        <v>130.4</v>
      </c>
      <c r="R94">
        <v>126.7</v>
      </c>
      <c r="S94">
        <v>122.3</v>
      </c>
      <c r="T94">
        <v>126.1</v>
      </c>
      <c r="U94">
        <v>119.9</v>
      </c>
      <c r="V94">
        <v>120.1</v>
      </c>
      <c r="W94">
        <v>121.3</v>
      </c>
      <c r="X94">
        <v>119</v>
      </c>
      <c r="Y94">
        <v>112.7</v>
      </c>
      <c r="Z94">
        <v>117.2</v>
      </c>
      <c r="AA94">
        <v>124.4</v>
      </c>
      <c r="AB94">
        <v>112.3</v>
      </c>
      <c r="AC94">
        <v>117.2</v>
      </c>
      <c r="AD94">
        <v>123.6</v>
      </c>
    </row>
    <row r="95" spans="1:30" x14ac:dyDescent="0.25">
      <c r="A95" t="s">
        <v>30</v>
      </c>
      <c r="B95">
        <v>2015</v>
      </c>
      <c r="C95" t="s">
        <v>41</v>
      </c>
      <c r="D95">
        <v>124.7</v>
      </c>
      <c r="E95">
        <v>131.30000000000001</v>
      </c>
      <c r="F95">
        <v>121.3</v>
      </c>
      <c r="G95">
        <v>128.80000000000001</v>
      </c>
      <c r="H95">
        <v>114</v>
      </c>
      <c r="I95">
        <v>134.19999999999999</v>
      </c>
      <c r="J95">
        <v>153.6</v>
      </c>
      <c r="K95">
        <v>137.9</v>
      </c>
      <c r="L95">
        <v>93.1</v>
      </c>
      <c r="M95">
        <v>123.9</v>
      </c>
      <c r="N95">
        <v>121.5</v>
      </c>
      <c r="O95">
        <v>132.5</v>
      </c>
      <c r="P95">
        <v>129.80000000000001</v>
      </c>
      <c r="Q95">
        <v>130.1</v>
      </c>
      <c r="R95">
        <v>129.5</v>
      </c>
      <c r="S95">
        <v>126.3</v>
      </c>
      <c r="T95">
        <v>129</v>
      </c>
      <c r="U95" t="s">
        <v>32</v>
      </c>
      <c r="V95">
        <v>123.8</v>
      </c>
      <c r="W95">
        <v>123.7</v>
      </c>
      <c r="X95">
        <v>121.1</v>
      </c>
      <c r="Y95">
        <v>113.6</v>
      </c>
      <c r="Z95">
        <v>118.5</v>
      </c>
      <c r="AA95">
        <v>123.6</v>
      </c>
      <c r="AB95">
        <v>112.5</v>
      </c>
      <c r="AC95">
        <v>118.2</v>
      </c>
      <c r="AD95">
        <v>126.1</v>
      </c>
    </row>
    <row r="96" spans="1:30" x14ac:dyDescent="0.25">
      <c r="A96" t="s">
        <v>33</v>
      </c>
      <c r="B96">
        <v>2015</v>
      </c>
      <c r="C96" t="s">
        <v>41</v>
      </c>
      <c r="D96">
        <v>123.1</v>
      </c>
      <c r="E96">
        <v>131.69999999999999</v>
      </c>
      <c r="F96">
        <v>118.1</v>
      </c>
      <c r="G96">
        <v>128</v>
      </c>
      <c r="H96">
        <v>106.8</v>
      </c>
      <c r="I96">
        <v>130.1</v>
      </c>
      <c r="J96">
        <v>165.5</v>
      </c>
      <c r="K96">
        <v>156</v>
      </c>
      <c r="L96">
        <v>85.3</v>
      </c>
      <c r="M96">
        <v>132.69999999999999</v>
      </c>
      <c r="N96">
        <v>118.8</v>
      </c>
      <c r="O96">
        <v>131.69999999999999</v>
      </c>
      <c r="P96">
        <v>131.1</v>
      </c>
      <c r="Q96">
        <v>134.19999999999999</v>
      </c>
      <c r="R96">
        <v>123.7</v>
      </c>
      <c r="S96">
        <v>118.2</v>
      </c>
      <c r="T96">
        <v>122.9</v>
      </c>
      <c r="U96">
        <v>120.9</v>
      </c>
      <c r="V96">
        <v>115.3</v>
      </c>
      <c r="W96">
        <v>120</v>
      </c>
      <c r="X96">
        <v>116.6</v>
      </c>
      <c r="Y96">
        <v>109.9</v>
      </c>
      <c r="Z96">
        <v>117.2</v>
      </c>
      <c r="AA96">
        <v>126.2</v>
      </c>
      <c r="AB96">
        <v>112</v>
      </c>
      <c r="AC96">
        <v>116.2</v>
      </c>
      <c r="AD96">
        <v>123.2</v>
      </c>
    </row>
    <row r="97" spans="1:30" x14ac:dyDescent="0.25">
      <c r="A97" t="s">
        <v>34</v>
      </c>
      <c r="B97">
        <v>2015</v>
      </c>
      <c r="C97" t="s">
        <v>41</v>
      </c>
      <c r="D97">
        <v>124.2</v>
      </c>
      <c r="E97">
        <v>131.4</v>
      </c>
      <c r="F97">
        <v>120.1</v>
      </c>
      <c r="G97">
        <v>128.5</v>
      </c>
      <c r="H97">
        <v>111.4</v>
      </c>
      <c r="I97">
        <v>132.30000000000001</v>
      </c>
      <c r="J97">
        <v>157.6</v>
      </c>
      <c r="K97">
        <v>144</v>
      </c>
      <c r="L97">
        <v>90.5</v>
      </c>
      <c r="M97">
        <v>126.8</v>
      </c>
      <c r="N97">
        <v>120.4</v>
      </c>
      <c r="O97">
        <v>132.1</v>
      </c>
      <c r="P97">
        <v>130.30000000000001</v>
      </c>
      <c r="Q97">
        <v>131.19999999999999</v>
      </c>
      <c r="R97">
        <v>127.2</v>
      </c>
      <c r="S97">
        <v>122.9</v>
      </c>
      <c r="T97">
        <v>126.6</v>
      </c>
      <c r="U97">
        <v>120.9</v>
      </c>
      <c r="V97">
        <v>120.6</v>
      </c>
      <c r="W97">
        <v>122</v>
      </c>
      <c r="X97">
        <v>119.4</v>
      </c>
      <c r="Y97">
        <v>111.7</v>
      </c>
      <c r="Z97">
        <v>117.8</v>
      </c>
      <c r="AA97">
        <v>125.1</v>
      </c>
      <c r="AB97">
        <v>112.3</v>
      </c>
      <c r="AC97">
        <v>117.2</v>
      </c>
      <c r="AD97">
        <v>124.8</v>
      </c>
    </row>
    <row r="98" spans="1:30" x14ac:dyDescent="0.25">
      <c r="A98" t="s">
        <v>30</v>
      </c>
      <c r="B98">
        <v>2015</v>
      </c>
      <c r="C98" t="s">
        <v>42</v>
      </c>
      <c r="D98">
        <v>125.1</v>
      </c>
      <c r="E98">
        <v>131.1</v>
      </c>
      <c r="F98">
        <v>120.7</v>
      </c>
      <c r="G98">
        <v>129.19999999999999</v>
      </c>
      <c r="H98">
        <v>114.7</v>
      </c>
      <c r="I98">
        <v>132.30000000000001</v>
      </c>
      <c r="J98">
        <v>158.9</v>
      </c>
      <c r="K98">
        <v>142.1</v>
      </c>
      <c r="L98">
        <v>92.5</v>
      </c>
      <c r="M98">
        <v>125.4</v>
      </c>
      <c r="N98">
        <v>121.9</v>
      </c>
      <c r="O98">
        <v>132.69999999999999</v>
      </c>
      <c r="P98">
        <v>131</v>
      </c>
      <c r="Q98">
        <v>131</v>
      </c>
      <c r="R98">
        <v>130.4</v>
      </c>
      <c r="S98">
        <v>126.8</v>
      </c>
      <c r="T98">
        <v>129.9</v>
      </c>
      <c r="U98" t="s">
        <v>32</v>
      </c>
      <c r="V98">
        <v>123.7</v>
      </c>
      <c r="W98">
        <v>124.5</v>
      </c>
      <c r="X98">
        <v>121.4</v>
      </c>
      <c r="Y98">
        <v>113.8</v>
      </c>
      <c r="Z98">
        <v>119.6</v>
      </c>
      <c r="AA98">
        <v>124.5</v>
      </c>
      <c r="AB98">
        <v>113.7</v>
      </c>
      <c r="AC98">
        <v>118.8</v>
      </c>
      <c r="AD98">
        <v>127</v>
      </c>
    </row>
    <row r="99" spans="1:30" x14ac:dyDescent="0.25">
      <c r="A99" t="s">
        <v>33</v>
      </c>
      <c r="B99">
        <v>2015</v>
      </c>
      <c r="C99" t="s">
        <v>42</v>
      </c>
      <c r="D99">
        <v>123.4</v>
      </c>
      <c r="E99">
        <v>129</v>
      </c>
      <c r="F99">
        <v>115.6</v>
      </c>
      <c r="G99">
        <v>128.30000000000001</v>
      </c>
      <c r="H99">
        <v>107</v>
      </c>
      <c r="I99">
        <v>124</v>
      </c>
      <c r="J99">
        <v>168.5</v>
      </c>
      <c r="K99">
        <v>165.4</v>
      </c>
      <c r="L99">
        <v>86.3</v>
      </c>
      <c r="M99">
        <v>134.4</v>
      </c>
      <c r="N99">
        <v>119.1</v>
      </c>
      <c r="O99">
        <v>132.30000000000001</v>
      </c>
      <c r="P99">
        <v>131.5</v>
      </c>
      <c r="Q99">
        <v>134.69999999999999</v>
      </c>
      <c r="R99">
        <v>124</v>
      </c>
      <c r="S99">
        <v>118.6</v>
      </c>
      <c r="T99">
        <v>123.2</v>
      </c>
      <c r="U99">
        <v>121.6</v>
      </c>
      <c r="V99">
        <v>115.1</v>
      </c>
      <c r="W99">
        <v>120.4</v>
      </c>
      <c r="X99">
        <v>117.1</v>
      </c>
      <c r="Y99">
        <v>109.1</v>
      </c>
      <c r="Z99">
        <v>117.3</v>
      </c>
      <c r="AA99">
        <v>126.5</v>
      </c>
      <c r="AB99">
        <v>112.9</v>
      </c>
      <c r="AC99">
        <v>116.2</v>
      </c>
      <c r="AD99">
        <v>123.5</v>
      </c>
    </row>
    <row r="100" spans="1:30" x14ac:dyDescent="0.25">
      <c r="A100" t="s">
        <v>34</v>
      </c>
      <c r="B100">
        <v>2015</v>
      </c>
      <c r="C100" t="s">
        <v>42</v>
      </c>
      <c r="D100">
        <v>124.6</v>
      </c>
      <c r="E100">
        <v>130.4</v>
      </c>
      <c r="F100">
        <v>118.7</v>
      </c>
      <c r="G100">
        <v>128.9</v>
      </c>
      <c r="H100">
        <v>111.9</v>
      </c>
      <c r="I100">
        <v>128.4</v>
      </c>
      <c r="J100">
        <v>162.19999999999999</v>
      </c>
      <c r="K100">
        <v>150</v>
      </c>
      <c r="L100">
        <v>90.4</v>
      </c>
      <c r="M100">
        <v>128.4</v>
      </c>
      <c r="N100">
        <v>120.7</v>
      </c>
      <c r="O100">
        <v>132.5</v>
      </c>
      <c r="P100">
        <v>131.19999999999999</v>
      </c>
      <c r="Q100">
        <v>132</v>
      </c>
      <c r="R100">
        <v>127.9</v>
      </c>
      <c r="S100">
        <v>123.4</v>
      </c>
      <c r="T100">
        <v>127.2</v>
      </c>
      <c r="U100">
        <v>121.6</v>
      </c>
      <c r="V100">
        <v>120.4</v>
      </c>
      <c r="W100">
        <v>122.6</v>
      </c>
      <c r="X100">
        <v>119.8</v>
      </c>
      <c r="Y100">
        <v>111.3</v>
      </c>
      <c r="Z100">
        <v>118.3</v>
      </c>
      <c r="AA100">
        <v>125.7</v>
      </c>
      <c r="AB100">
        <v>113.4</v>
      </c>
      <c r="AC100">
        <v>117.5</v>
      </c>
      <c r="AD100">
        <v>125.4</v>
      </c>
    </row>
    <row r="101" spans="1:30" x14ac:dyDescent="0.25">
      <c r="A101" t="s">
        <v>30</v>
      </c>
      <c r="B101">
        <v>2015</v>
      </c>
      <c r="C101" t="s">
        <v>43</v>
      </c>
      <c r="D101">
        <v>125.6</v>
      </c>
      <c r="E101">
        <v>130.4</v>
      </c>
      <c r="F101">
        <v>120.8</v>
      </c>
      <c r="G101">
        <v>129.4</v>
      </c>
      <c r="H101">
        <v>115.8</v>
      </c>
      <c r="I101">
        <v>133.19999999999999</v>
      </c>
      <c r="J101">
        <v>157.69999999999999</v>
      </c>
      <c r="K101">
        <v>154.19999999999999</v>
      </c>
      <c r="L101">
        <v>93.7</v>
      </c>
      <c r="M101">
        <v>126.6</v>
      </c>
      <c r="N101">
        <v>122.3</v>
      </c>
      <c r="O101">
        <v>133.1</v>
      </c>
      <c r="P101">
        <v>131.80000000000001</v>
      </c>
      <c r="Q101">
        <v>131.5</v>
      </c>
      <c r="R101">
        <v>131.1</v>
      </c>
      <c r="S101">
        <v>127.3</v>
      </c>
      <c r="T101">
        <v>130.6</v>
      </c>
      <c r="U101" t="s">
        <v>32</v>
      </c>
      <c r="V101">
        <v>124.4</v>
      </c>
      <c r="W101">
        <v>125.1</v>
      </c>
      <c r="X101">
        <v>122</v>
      </c>
      <c r="Y101">
        <v>113.8</v>
      </c>
      <c r="Z101">
        <v>120.1</v>
      </c>
      <c r="AA101">
        <v>125.1</v>
      </c>
      <c r="AB101">
        <v>114.2</v>
      </c>
      <c r="AC101">
        <v>119.2</v>
      </c>
      <c r="AD101">
        <v>127.7</v>
      </c>
    </row>
    <row r="102" spans="1:30" x14ac:dyDescent="0.25">
      <c r="A102" t="s">
        <v>33</v>
      </c>
      <c r="B102">
        <v>2015</v>
      </c>
      <c r="C102" t="s">
        <v>43</v>
      </c>
      <c r="D102">
        <v>123.6</v>
      </c>
      <c r="E102">
        <v>128.6</v>
      </c>
      <c r="F102">
        <v>115.9</v>
      </c>
      <c r="G102">
        <v>128.5</v>
      </c>
      <c r="H102">
        <v>109</v>
      </c>
      <c r="I102">
        <v>124.1</v>
      </c>
      <c r="J102">
        <v>165.8</v>
      </c>
      <c r="K102">
        <v>187.2</v>
      </c>
      <c r="L102">
        <v>89.4</v>
      </c>
      <c r="M102">
        <v>135.80000000000001</v>
      </c>
      <c r="N102">
        <v>119.4</v>
      </c>
      <c r="O102">
        <v>132.9</v>
      </c>
      <c r="P102">
        <v>132.6</v>
      </c>
      <c r="Q102">
        <v>135.30000000000001</v>
      </c>
      <c r="R102">
        <v>124.4</v>
      </c>
      <c r="S102">
        <v>118.8</v>
      </c>
      <c r="T102">
        <v>123.6</v>
      </c>
      <c r="U102">
        <v>122.4</v>
      </c>
      <c r="V102">
        <v>114.9</v>
      </c>
      <c r="W102">
        <v>120.7</v>
      </c>
      <c r="X102">
        <v>117.7</v>
      </c>
      <c r="Y102">
        <v>109.3</v>
      </c>
      <c r="Z102">
        <v>117.7</v>
      </c>
      <c r="AA102">
        <v>126.5</v>
      </c>
      <c r="AB102">
        <v>113.5</v>
      </c>
      <c r="AC102">
        <v>116.5</v>
      </c>
      <c r="AD102">
        <v>124.2</v>
      </c>
    </row>
    <row r="103" spans="1:30" x14ac:dyDescent="0.25">
      <c r="A103" t="s">
        <v>34</v>
      </c>
      <c r="B103">
        <v>2015</v>
      </c>
      <c r="C103" t="s">
        <v>43</v>
      </c>
      <c r="D103">
        <v>125</v>
      </c>
      <c r="E103">
        <v>129.80000000000001</v>
      </c>
      <c r="F103">
        <v>118.9</v>
      </c>
      <c r="G103">
        <v>129.1</v>
      </c>
      <c r="H103">
        <v>113.3</v>
      </c>
      <c r="I103">
        <v>129</v>
      </c>
      <c r="J103">
        <v>160.4</v>
      </c>
      <c r="K103">
        <v>165.3</v>
      </c>
      <c r="L103">
        <v>92.3</v>
      </c>
      <c r="M103">
        <v>129.69999999999999</v>
      </c>
      <c r="N103">
        <v>121.1</v>
      </c>
      <c r="O103">
        <v>133</v>
      </c>
      <c r="P103">
        <v>132.1</v>
      </c>
      <c r="Q103">
        <v>132.5</v>
      </c>
      <c r="R103">
        <v>128.5</v>
      </c>
      <c r="S103">
        <v>123.8</v>
      </c>
      <c r="T103">
        <v>127.8</v>
      </c>
      <c r="U103">
        <v>122.4</v>
      </c>
      <c r="V103">
        <v>120.8</v>
      </c>
      <c r="W103">
        <v>123</v>
      </c>
      <c r="X103">
        <v>120.4</v>
      </c>
      <c r="Y103">
        <v>111.4</v>
      </c>
      <c r="Z103">
        <v>118.7</v>
      </c>
      <c r="AA103">
        <v>125.9</v>
      </c>
      <c r="AB103">
        <v>113.9</v>
      </c>
      <c r="AC103">
        <v>117.9</v>
      </c>
      <c r="AD103">
        <v>126.1</v>
      </c>
    </row>
    <row r="104" spans="1:30" x14ac:dyDescent="0.25">
      <c r="A104" t="s">
        <v>30</v>
      </c>
      <c r="B104">
        <v>2015</v>
      </c>
      <c r="C104" t="s">
        <v>45</v>
      </c>
      <c r="D104">
        <v>126.1</v>
      </c>
      <c r="E104">
        <v>130.6</v>
      </c>
      <c r="F104">
        <v>121.7</v>
      </c>
      <c r="G104">
        <v>129.5</v>
      </c>
      <c r="H104">
        <v>117.8</v>
      </c>
      <c r="I104">
        <v>132.1</v>
      </c>
      <c r="J104">
        <v>155.19999999999999</v>
      </c>
      <c r="K104">
        <v>160.80000000000001</v>
      </c>
      <c r="L104">
        <v>94.5</v>
      </c>
      <c r="M104">
        <v>128.30000000000001</v>
      </c>
      <c r="N104">
        <v>123.1</v>
      </c>
      <c r="O104">
        <v>134.19999999999999</v>
      </c>
      <c r="P104">
        <v>132.4</v>
      </c>
      <c r="Q104">
        <v>132.19999999999999</v>
      </c>
      <c r="R104">
        <v>132.1</v>
      </c>
      <c r="S104">
        <v>128.19999999999999</v>
      </c>
      <c r="T104">
        <v>131.5</v>
      </c>
      <c r="U104" t="s">
        <v>32</v>
      </c>
      <c r="V104">
        <v>125.6</v>
      </c>
      <c r="W104">
        <v>125.6</v>
      </c>
      <c r="X104">
        <v>122.6</v>
      </c>
      <c r="Y104">
        <v>114</v>
      </c>
      <c r="Z104">
        <v>120.9</v>
      </c>
      <c r="AA104">
        <v>125.8</v>
      </c>
      <c r="AB104">
        <v>114.2</v>
      </c>
      <c r="AC104">
        <v>119.6</v>
      </c>
      <c r="AD104">
        <v>128.30000000000001</v>
      </c>
    </row>
    <row r="105" spans="1:30" x14ac:dyDescent="0.25">
      <c r="A105" t="s">
        <v>33</v>
      </c>
      <c r="B105">
        <v>2015</v>
      </c>
      <c r="C105" t="s">
        <v>45</v>
      </c>
      <c r="D105">
        <v>124</v>
      </c>
      <c r="E105">
        <v>129.80000000000001</v>
      </c>
      <c r="F105">
        <v>121.5</v>
      </c>
      <c r="G105">
        <v>128.6</v>
      </c>
      <c r="H105">
        <v>110</v>
      </c>
      <c r="I105">
        <v>123.7</v>
      </c>
      <c r="J105">
        <v>164.6</v>
      </c>
      <c r="K105">
        <v>191.6</v>
      </c>
      <c r="L105">
        <v>90.8</v>
      </c>
      <c r="M105">
        <v>137.1</v>
      </c>
      <c r="N105">
        <v>119.8</v>
      </c>
      <c r="O105">
        <v>133.69999999999999</v>
      </c>
      <c r="P105">
        <v>133.30000000000001</v>
      </c>
      <c r="Q105">
        <v>137.6</v>
      </c>
      <c r="R105">
        <v>125</v>
      </c>
      <c r="S105">
        <v>119.3</v>
      </c>
      <c r="T105">
        <v>124.2</v>
      </c>
      <c r="U105">
        <v>122.9</v>
      </c>
      <c r="V105">
        <v>115.1</v>
      </c>
      <c r="W105">
        <v>121</v>
      </c>
      <c r="X105">
        <v>118.1</v>
      </c>
      <c r="Y105">
        <v>109.3</v>
      </c>
      <c r="Z105">
        <v>117.9</v>
      </c>
      <c r="AA105">
        <v>126.6</v>
      </c>
      <c r="AB105">
        <v>113.3</v>
      </c>
      <c r="AC105">
        <v>116.6</v>
      </c>
      <c r="AD105">
        <v>124.6</v>
      </c>
    </row>
    <row r="106" spans="1:30" x14ac:dyDescent="0.25">
      <c r="A106" t="s">
        <v>34</v>
      </c>
      <c r="B106">
        <v>2015</v>
      </c>
      <c r="C106" t="s">
        <v>45</v>
      </c>
      <c r="D106">
        <v>125.4</v>
      </c>
      <c r="E106">
        <v>130.30000000000001</v>
      </c>
      <c r="F106">
        <v>121.6</v>
      </c>
      <c r="G106">
        <v>129.19999999999999</v>
      </c>
      <c r="H106">
        <v>114.9</v>
      </c>
      <c r="I106">
        <v>128.19999999999999</v>
      </c>
      <c r="J106">
        <v>158.4</v>
      </c>
      <c r="K106">
        <v>171.2</v>
      </c>
      <c r="L106">
        <v>93.3</v>
      </c>
      <c r="M106">
        <v>131.19999999999999</v>
      </c>
      <c r="N106">
        <v>121.7</v>
      </c>
      <c r="O106">
        <v>134</v>
      </c>
      <c r="P106">
        <v>132.69999999999999</v>
      </c>
      <c r="Q106">
        <v>133.6</v>
      </c>
      <c r="R106">
        <v>129.30000000000001</v>
      </c>
      <c r="S106">
        <v>124.5</v>
      </c>
      <c r="T106">
        <v>128.6</v>
      </c>
      <c r="U106">
        <v>122.9</v>
      </c>
      <c r="V106">
        <v>121.6</v>
      </c>
      <c r="W106">
        <v>123.4</v>
      </c>
      <c r="X106">
        <v>120.9</v>
      </c>
      <c r="Y106">
        <v>111.5</v>
      </c>
      <c r="Z106">
        <v>119.2</v>
      </c>
      <c r="AA106">
        <v>126.3</v>
      </c>
      <c r="AB106">
        <v>113.8</v>
      </c>
      <c r="AC106">
        <v>118.1</v>
      </c>
      <c r="AD106">
        <v>126.6</v>
      </c>
    </row>
    <row r="107" spans="1:30" x14ac:dyDescent="0.25">
      <c r="A107" t="s">
        <v>30</v>
      </c>
      <c r="B107">
        <v>2015</v>
      </c>
      <c r="C107" t="s">
        <v>46</v>
      </c>
      <c r="D107">
        <v>126.3</v>
      </c>
      <c r="E107">
        <v>131.30000000000001</v>
      </c>
      <c r="F107">
        <v>123.3</v>
      </c>
      <c r="G107">
        <v>129.80000000000001</v>
      </c>
      <c r="H107">
        <v>118.3</v>
      </c>
      <c r="I107">
        <v>131.6</v>
      </c>
      <c r="J107">
        <v>145.5</v>
      </c>
      <c r="K107">
        <v>162.1</v>
      </c>
      <c r="L107">
        <v>95.4</v>
      </c>
      <c r="M107">
        <v>128.9</v>
      </c>
      <c r="N107">
        <v>123.3</v>
      </c>
      <c r="O107">
        <v>135.1</v>
      </c>
      <c r="P107">
        <v>131.4</v>
      </c>
      <c r="Q107">
        <v>133.1</v>
      </c>
      <c r="R107">
        <v>132.5</v>
      </c>
      <c r="S107">
        <v>128.5</v>
      </c>
      <c r="T107">
        <v>131.9</v>
      </c>
      <c r="U107" t="s">
        <v>32</v>
      </c>
      <c r="V107">
        <v>125.7</v>
      </c>
      <c r="W107">
        <v>126</v>
      </c>
      <c r="X107">
        <v>123.1</v>
      </c>
      <c r="Y107">
        <v>114</v>
      </c>
      <c r="Z107">
        <v>121.6</v>
      </c>
      <c r="AA107">
        <v>125.6</v>
      </c>
      <c r="AB107">
        <v>114.1</v>
      </c>
      <c r="AC107">
        <v>119.8</v>
      </c>
      <c r="AD107">
        <v>127.9</v>
      </c>
    </row>
    <row r="108" spans="1:30" x14ac:dyDescent="0.25">
      <c r="A108" t="s">
        <v>33</v>
      </c>
      <c r="B108">
        <v>2015</v>
      </c>
      <c r="C108" t="s">
        <v>46</v>
      </c>
      <c r="D108">
        <v>124.3</v>
      </c>
      <c r="E108">
        <v>131.69999999999999</v>
      </c>
      <c r="F108">
        <v>127.1</v>
      </c>
      <c r="G108">
        <v>128.6</v>
      </c>
      <c r="H108">
        <v>110</v>
      </c>
      <c r="I108">
        <v>120.8</v>
      </c>
      <c r="J108">
        <v>149</v>
      </c>
      <c r="K108">
        <v>190.1</v>
      </c>
      <c r="L108">
        <v>92.7</v>
      </c>
      <c r="M108">
        <v>138.6</v>
      </c>
      <c r="N108">
        <v>120.2</v>
      </c>
      <c r="O108">
        <v>134.19999999999999</v>
      </c>
      <c r="P108">
        <v>131.5</v>
      </c>
      <c r="Q108">
        <v>138.19999999999999</v>
      </c>
      <c r="R108">
        <v>125.4</v>
      </c>
      <c r="S108">
        <v>119.5</v>
      </c>
      <c r="T108">
        <v>124.5</v>
      </c>
      <c r="U108">
        <v>122.4</v>
      </c>
      <c r="V108">
        <v>116</v>
      </c>
      <c r="W108">
        <v>121</v>
      </c>
      <c r="X108">
        <v>118.6</v>
      </c>
      <c r="Y108">
        <v>109.3</v>
      </c>
      <c r="Z108">
        <v>118.1</v>
      </c>
      <c r="AA108">
        <v>126.6</v>
      </c>
      <c r="AB108">
        <v>113.2</v>
      </c>
      <c r="AC108">
        <v>116.7</v>
      </c>
      <c r="AD108">
        <v>124</v>
      </c>
    </row>
    <row r="109" spans="1:30" x14ac:dyDescent="0.25">
      <c r="A109" t="s">
        <v>34</v>
      </c>
      <c r="B109">
        <v>2015</v>
      </c>
      <c r="C109" t="s">
        <v>46</v>
      </c>
      <c r="D109">
        <v>125.7</v>
      </c>
      <c r="E109">
        <v>131.4</v>
      </c>
      <c r="F109">
        <v>124.8</v>
      </c>
      <c r="G109">
        <v>129.4</v>
      </c>
      <c r="H109">
        <v>115.3</v>
      </c>
      <c r="I109">
        <v>126.6</v>
      </c>
      <c r="J109">
        <v>146.69999999999999</v>
      </c>
      <c r="K109">
        <v>171.5</v>
      </c>
      <c r="L109">
        <v>94.5</v>
      </c>
      <c r="M109">
        <v>132.1</v>
      </c>
      <c r="N109">
        <v>122</v>
      </c>
      <c r="O109">
        <v>134.69999999999999</v>
      </c>
      <c r="P109">
        <v>131.4</v>
      </c>
      <c r="Q109">
        <v>134.5</v>
      </c>
      <c r="R109">
        <v>129.69999999999999</v>
      </c>
      <c r="S109">
        <v>124.8</v>
      </c>
      <c r="T109">
        <v>129</v>
      </c>
      <c r="U109">
        <v>122.4</v>
      </c>
      <c r="V109">
        <v>122</v>
      </c>
      <c r="W109">
        <v>123.6</v>
      </c>
      <c r="X109">
        <v>121.4</v>
      </c>
      <c r="Y109">
        <v>111.5</v>
      </c>
      <c r="Z109">
        <v>119.6</v>
      </c>
      <c r="AA109">
        <v>126.2</v>
      </c>
      <c r="AB109">
        <v>113.7</v>
      </c>
      <c r="AC109">
        <v>118.3</v>
      </c>
      <c r="AD109">
        <v>126.1</v>
      </c>
    </row>
    <row r="110" spans="1:30" x14ac:dyDescent="0.25">
      <c r="A110" t="s">
        <v>30</v>
      </c>
      <c r="B110">
        <v>2016</v>
      </c>
      <c r="C110" t="s">
        <v>31</v>
      </c>
      <c r="D110">
        <v>126.8</v>
      </c>
      <c r="E110">
        <v>133.19999999999999</v>
      </c>
      <c r="F110">
        <v>126.5</v>
      </c>
      <c r="G110">
        <v>130.30000000000001</v>
      </c>
      <c r="H110">
        <v>118.9</v>
      </c>
      <c r="I110">
        <v>131.6</v>
      </c>
      <c r="J110">
        <v>140.1</v>
      </c>
      <c r="K110">
        <v>163.80000000000001</v>
      </c>
      <c r="L110">
        <v>97.7</v>
      </c>
      <c r="M110">
        <v>129.6</v>
      </c>
      <c r="N110">
        <v>124.3</v>
      </c>
      <c r="O110">
        <v>135.9</v>
      </c>
      <c r="P110">
        <v>131.4</v>
      </c>
      <c r="Q110">
        <v>133.6</v>
      </c>
      <c r="R110">
        <v>133.19999999999999</v>
      </c>
      <c r="S110">
        <v>128.9</v>
      </c>
      <c r="T110">
        <v>132.6</v>
      </c>
      <c r="U110" t="s">
        <v>32</v>
      </c>
      <c r="V110">
        <v>126.2</v>
      </c>
      <c r="W110">
        <v>126.6</v>
      </c>
      <c r="X110">
        <v>123.7</v>
      </c>
      <c r="Y110">
        <v>113.6</v>
      </c>
      <c r="Z110">
        <v>121.4</v>
      </c>
      <c r="AA110">
        <v>126.2</v>
      </c>
      <c r="AB110">
        <v>114.9</v>
      </c>
      <c r="AC110">
        <v>120.1</v>
      </c>
      <c r="AD110">
        <v>128.1</v>
      </c>
    </row>
    <row r="111" spans="1:30" x14ac:dyDescent="0.25">
      <c r="A111" t="s">
        <v>33</v>
      </c>
      <c r="B111">
        <v>2016</v>
      </c>
      <c r="C111" t="s">
        <v>31</v>
      </c>
      <c r="D111">
        <v>124.7</v>
      </c>
      <c r="E111">
        <v>135.9</v>
      </c>
      <c r="F111">
        <v>132</v>
      </c>
      <c r="G111">
        <v>129.19999999999999</v>
      </c>
      <c r="H111">
        <v>109.7</v>
      </c>
      <c r="I111">
        <v>119</v>
      </c>
      <c r="J111">
        <v>144.1</v>
      </c>
      <c r="K111">
        <v>184.2</v>
      </c>
      <c r="L111">
        <v>96.7</v>
      </c>
      <c r="M111">
        <v>139.5</v>
      </c>
      <c r="N111">
        <v>120.5</v>
      </c>
      <c r="O111">
        <v>134.69999999999999</v>
      </c>
      <c r="P111">
        <v>131.19999999999999</v>
      </c>
      <c r="Q111">
        <v>139.5</v>
      </c>
      <c r="R111">
        <v>125.8</v>
      </c>
      <c r="S111">
        <v>119.8</v>
      </c>
      <c r="T111">
        <v>124.9</v>
      </c>
      <c r="U111">
        <v>123.4</v>
      </c>
      <c r="V111">
        <v>116.9</v>
      </c>
      <c r="W111">
        <v>121.6</v>
      </c>
      <c r="X111">
        <v>119.1</v>
      </c>
      <c r="Y111">
        <v>108.9</v>
      </c>
      <c r="Z111">
        <v>118.5</v>
      </c>
      <c r="AA111">
        <v>126.4</v>
      </c>
      <c r="AB111">
        <v>114</v>
      </c>
      <c r="AC111">
        <v>116.8</v>
      </c>
      <c r="AD111">
        <v>124.2</v>
      </c>
    </row>
    <row r="112" spans="1:30" x14ac:dyDescent="0.25">
      <c r="A112" t="s">
        <v>34</v>
      </c>
      <c r="B112">
        <v>2016</v>
      </c>
      <c r="C112" t="s">
        <v>31</v>
      </c>
      <c r="D112">
        <v>126.1</v>
      </c>
      <c r="E112">
        <v>134.1</v>
      </c>
      <c r="F112">
        <v>128.6</v>
      </c>
      <c r="G112">
        <v>129.9</v>
      </c>
      <c r="H112">
        <v>115.5</v>
      </c>
      <c r="I112">
        <v>125.7</v>
      </c>
      <c r="J112">
        <v>141.5</v>
      </c>
      <c r="K112">
        <v>170.7</v>
      </c>
      <c r="L112">
        <v>97.4</v>
      </c>
      <c r="M112">
        <v>132.9</v>
      </c>
      <c r="N112">
        <v>122.7</v>
      </c>
      <c r="O112">
        <v>135.30000000000001</v>
      </c>
      <c r="P112">
        <v>131.30000000000001</v>
      </c>
      <c r="Q112">
        <v>135.19999999999999</v>
      </c>
      <c r="R112">
        <v>130.30000000000001</v>
      </c>
      <c r="S112">
        <v>125.1</v>
      </c>
      <c r="T112">
        <v>129.5</v>
      </c>
      <c r="U112">
        <v>123.4</v>
      </c>
      <c r="V112">
        <v>122.7</v>
      </c>
      <c r="W112">
        <v>124.2</v>
      </c>
      <c r="X112">
        <v>122</v>
      </c>
      <c r="Y112">
        <v>111.1</v>
      </c>
      <c r="Z112">
        <v>119.8</v>
      </c>
      <c r="AA112">
        <v>126.3</v>
      </c>
      <c r="AB112">
        <v>114.5</v>
      </c>
      <c r="AC112">
        <v>118.5</v>
      </c>
      <c r="AD112">
        <v>126.3</v>
      </c>
    </row>
    <row r="113" spans="1:30" x14ac:dyDescent="0.25">
      <c r="A113" t="s">
        <v>30</v>
      </c>
      <c r="B113">
        <v>2016</v>
      </c>
      <c r="C113" t="s">
        <v>35</v>
      </c>
      <c r="D113">
        <v>127.1</v>
      </c>
      <c r="E113">
        <v>133.69999999999999</v>
      </c>
      <c r="F113">
        <v>127.7</v>
      </c>
      <c r="G113">
        <v>130.69999999999999</v>
      </c>
      <c r="H113">
        <v>118.5</v>
      </c>
      <c r="I113">
        <v>130.4</v>
      </c>
      <c r="J113">
        <v>130.9</v>
      </c>
      <c r="K113">
        <v>162.80000000000001</v>
      </c>
      <c r="L113">
        <v>98.7</v>
      </c>
      <c r="M113">
        <v>130.6</v>
      </c>
      <c r="N113">
        <v>124.8</v>
      </c>
      <c r="O113">
        <v>136.4</v>
      </c>
      <c r="P113">
        <v>130.30000000000001</v>
      </c>
      <c r="Q113">
        <v>134.4</v>
      </c>
      <c r="R113">
        <v>133.9</v>
      </c>
      <c r="S113">
        <v>129.80000000000001</v>
      </c>
      <c r="T113">
        <v>133.4</v>
      </c>
      <c r="U113" t="s">
        <v>32</v>
      </c>
      <c r="V113">
        <v>127.5</v>
      </c>
      <c r="W113">
        <v>127.1</v>
      </c>
      <c r="X113">
        <v>124.3</v>
      </c>
      <c r="Y113">
        <v>113.9</v>
      </c>
      <c r="Z113">
        <v>122.3</v>
      </c>
      <c r="AA113">
        <v>127.1</v>
      </c>
      <c r="AB113">
        <v>116.8</v>
      </c>
      <c r="AC113">
        <v>120.9</v>
      </c>
      <c r="AD113">
        <v>127.9</v>
      </c>
    </row>
    <row r="114" spans="1:30" x14ac:dyDescent="0.25">
      <c r="A114" t="s">
        <v>33</v>
      </c>
      <c r="B114">
        <v>2016</v>
      </c>
      <c r="C114" t="s">
        <v>35</v>
      </c>
      <c r="D114">
        <v>124.8</v>
      </c>
      <c r="E114">
        <v>135.1</v>
      </c>
      <c r="F114">
        <v>130.30000000000001</v>
      </c>
      <c r="G114">
        <v>129.6</v>
      </c>
      <c r="H114">
        <v>108.4</v>
      </c>
      <c r="I114">
        <v>118.6</v>
      </c>
      <c r="J114">
        <v>129.19999999999999</v>
      </c>
      <c r="K114">
        <v>176.4</v>
      </c>
      <c r="L114">
        <v>99.1</v>
      </c>
      <c r="M114">
        <v>139.69999999999999</v>
      </c>
      <c r="N114">
        <v>120.6</v>
      </c>
      <c r="O114">
        <v>135.19999999999999</v>
      </c>
      <c r="P114">
        <v>129.1</v>
      </c>
      <c r="Q114">
        <v>140</v>
      </c>
      <c r="R114">
        <v>126.2</v>
      </c>
      <c r="S114">
        <v>120.1</v>
      </c>
      <c r="T114">
        <v>125.3</v>
      </c>
      <c r="U114">
        <v>124.4</v>
      </c>
      <c r="V114">
        <v>116</v>
      </c>
      <c r="W114">
        <v>121.8</v>
      </c>
      <c r="X114">
        <v>119.5</v>
      </c>
      <c r="Y114">
        <v>109.1</v>
      </c>
      <c r="Z114">
        <v>118.8</v>
      </c>
      <c r="AA114">
        <v>126.3</v>
      </c>
      <c r="AB114">
        <v>116.2</v>
      </c>
      <c r="AC114">
        <v>117.2</v>
      </c>
      <c r="AD114">
        <v>123.8</v>
      </c>
    </row>
    <row r="115" spans="1:30" x14ac:dyDescent="0.25">
      <c r="A115" t="s">
        <v>34</v>
      </c>
      <c r="B115">
        <v>2016</v>
      </c>
      <c r="C115" t="s">
        <v>35</v>
      </c>
      <c r="D115">
        <v>126.4</v>
      </c>
      <c r="E115">
        <v>134.19999999999999</v>
      </c>
      <c r="F115">
        <v>128.69999999999999</v>
      </c>
      <c r="G115">
        <v>130.30000000000001</v>
      </c>
      <c r="H115">
        <v>114.8</v>
      </c>
      <c r="I115">
        <v>124.9</v>
      </c>
      <c r="J115">
        <v>130.30000000000001</v>
      </c>
      <c r="K115">
        <v>167.4</v>
      </c>
      <c r="L115">
        <v>98.8</v>
      </c>
      <c r="M115">
        <v>133.6</v>
      </c>
      <c r="N115">
        <v>123</v>
      </c>
      <c r="O115">
        <v>135.80000000000001</v>
      </c>
      <c r="P115">
        <v>129.9</v>
      </c>
      <c r="Q115">
        <v>135.9</v>
      </c>
      <c r="R115">
        <v>130.9</v>
      </c>
      <c r="S115">
        <v>125.8</v>
      </c>
      <c r="T115">
        <v>130.19999999999999</v>
      </c>
      <c r="U115">
        <v>124.4</v>
      </c>
      <c r="V115">
        <v>123.1</v>
      </c>
      <c r="W115">
        <v>124.6</v>
      </c>
      <c r="X115">
        <v>122.5</v>
      </c>
      <c r="Y115">
        <v>111.4</v>
      </c>
      <c r="Z115">
        <v>120.3</v>
      </c>
      <c r="AA115">
        <v>126.6</v>
      </c>
      <c r="AB115">
        <v>116.6</v>
      </c>
      <c r="AC115">
        <v>119.1</v>
      </c>
      <c r="AD115">
        <v>126</v>
      </c>
    </row>
    <row r="116" spans="1:30" x14ac:dyDescent="0.25">
      <c r="A116" t="s">
        <v>30</v>
      </c>
      <c r="B116">
        <v>2016</v>
      </c>
      <c r="C116" t="s">
        <v>36</v>
      </c>
      <c r="D116">
        <v>127.3</v>
      </c>
      <c r="E116">
        <v>134.4</v>
      </c>
      <c r="F116">
        <v>125.1</v>
      </c>
      <c r="G116">
        <v>130.5</v>
      </c>
      <c r="H116">
        <v>118.3</v>
      </c>
      <c r="I116">
        <v>131.69999999999999</v>
      </c>
      <c r="J116">
        <v>130.69999999999999</v>
      </c>
      <c r="K116">
        <v>161.19999999999999</v>
      </c>
      <c r="L116">
        <v>100.4</v>
      </c>
      <c r="M116">
        <v>130.80000000000001</v>
      </c>
      <c r="N116">
        <v>124.9</v>
      </c>
      <c r="O116">
        <v>137</v>
      </c>
      <c r="P116">
        <v>130.4</v>
      </c>
      <c r="Q116">
        <v>135</v>
      </c>
      <c r="R116">
        <v>134.4</v>
      </c>
      <c r="S116">
        <v>130.19999999999999</v>
      </c>
      <c r="T116">
        <v>133.80000000000001</v>
      </c>
      <c r="U116" t="s">
        <v>32</v>
      </c>
      <c r="V116">
        <v>127</v>
      </c>
      <c r="W116">
        <v>127.7</v>
      </c>
      <c r="X116">
        <v>124.8</v>
      </c>
      <c r="Y116">
        <v>113.6</v>
      </c>
      <c r="Z116">
        <v>122.5</v>
      </c>
      <c r="AA116">
        <v>127.5</v>
      </c>
      <c r="AB116">
        <v>117.4</v>
      </c>
      <c r="AC116">
        <v>121.1</v>
      </c>
      <c r="AD116">
        <v>128</v>
      </c>
    </row>
    <row r="117" spans="1:30" x14ac:dyDescent="0.25">
      <c r="A117" t="s">
        <v>33</v>
      </c>
      <c r="B117">
        <v>2016</v>
      </c>
      <c r="C117" t="s">
        <v>36</v>
      </c>
      <c r="D117">
        <v>124.8</v>
      </c>
      <c r="E117">
        <v>136.30000000000001</v>
      </c>
      <c r="F117">
        <v>123.7</v>
      </c>
      <c r="G117">
        <v>129.69999999999999</v>
      </c>
      <c r="H117">
        <v>107.9</v>
      </c>
      <c r="I117">
        <v>119.9</v>
      </c>
      <c r="J117">
        <v>128.1</v>
      </c>
      <c r="K117">
        <v>170.3</v>
      </c>
      <c r="L117">
        <v>101.8</v>
      </c>
      <c r="M117">
        <v>140.1</v>
      </c>
      <c r="N117">
        <v>120.7</v>
      </c>
      <c r="O117">
        <v>135.4</v>
      </c>
      <c r="P117">
        <v>128.9</v>
      </c>
      <c r="Q117">
        <v>140.6</v>
      </c>
      <c r="R117">
        <v>126.4</v>
      </c>
      <c r="S117">
        <v>120.3</v>
      </c>
      <c r="T117">
        <v>125.5</v>
      </c>
      <c r="U117">
        <v>124.9</v>
      </c>
      <c r="V117">
        <v>114.8</v>
      </c>
      <c r="W117">
        <v>122.3</v>
      </c>
      <c r="X117">
        <v>119.7</v>
      </c>
      <c r="Y117">
        <v>108.5</v>
      </c>
      <c r="Z117">
        <v>119.1</v>
      </c>
      <c r="AA117">
        <v>126.4</v>
      </c>
      <c r="AB117">
        <v>117.1</v>
      </c>
      <c r="AC117">
        <v>117.3</v>
      </c>
      <c r="AD117">
        <v>123.8</v>
      </c>
    </row>
    <row r="118" spans="1:30" x14ac:dyDescent="0.25">
      <c r="A118" t="s">
        <v>34</v>
      </c>
      <c r="B118">
        <v>2016</v>
      </c>
      <c r="C118" t="s">
        <v>36</v>
      </c>
      <c r="D118">
        <v>126.5</v>
      </c>
      <c r="E118">
        <v>135.1</v>
      </c>
      <c r="F118">
        <v>124.6</v>
      </c>
      <c r="G118">
        <v>130.19999999999999</v>
      </c>
      <c r="H118">
        <v>114.5</v>
      </c>
      <c r="I118">
        <v>126.2</v>
      </c>
      <c r="J118">
        <v>129.80000000000001</v>
      </c>
      <c r="K118">
        <v>164.3</v>
      </c>
      <c r="L118">
        <v>100.9</v>
      </c>
      <c r="M118">
        <v>133.9</v>
      </c>
      <c r="N118">
        <v>123.1</v>
      </c>
      <c r="O118">
        <v>136.30000000000001</v>
      </c>
      <c r="P118">
        <v>129.80000000000001</v>
      </c>
      <c r="Q118">
        <v>136.5</v>
      </c>
      <c r="R118">
        <v>131.30000000000001</v>
      </c>
      <c r="S118">
        <v>126.1</v>
      </c>
      <c r="T118">
        <v>130.5</v>
      </c>
      <c r="U118">
        <v>124.9</v>
      </c>
      <c r="V118">
        <v>122.4</v>
      </c>
      <c r="W118">
        <v>125.1</v>
      </c>
      <c r="X118">
        <v>122.9</v>
      </c>
      <c r="Y118">
        <v>110.9</v>
      </c>
      <c r="Z118">
        <v>120.6</v>
      </c>
      <c r="AA118">
        <v>126.9</v>
      </c>
      <c r="AB118">
        <v>117.3</v>
      </c>
      <c r="AC118">
        <v>119.3</v>
      </c>
      <c r="AD118">
        <v>126</v>
      </c>
    </row>
    <row r="119" spans="1:30" x14ac:dyDescent="0.25">
      <c r="A119" t="s">
        <v>30</v>
      </c>
      <c r="B119">
        <v>2016</v>
      </c>
      <c r="C119" t="s">
        <v>37</v>
      </c>
      <c r="D119">
        <v>127.4</v>
      </c>
      <c r="E119">
        <v>135.4</v>
      </c>
      <c r="F119">
        <v>123.4</v>
      </c>
      <c r="G119">
        <v>131.30000000000001</v>
      </c>
      <c r="H119">
        <v>118.2</v>
      </c>
      <c r="I119">
        <v>138.1</v>
      </c>
      <c r="J119">
        <v>134.1</v>
      </c>
      <c r="K119">
        <v>162.69999999999999</v>
      </c>
      <c r="L119">
        <v>105</v>
      </c>
      <c r="M119">
        <v>131.4</v>
      </c>
      <c r="N119">
        <v>125.4</v>
      </c>
      <c r="O119">
        <v>137.4</v>
      </c>
      <c r="P119">
        <v>131.80000000000001</v>
      </c>
      <c r="Q119">
        <v>135.5</v>
      </c>
      <c r="R119">
        <v>135</v>
      </c>
      <c r="S119">
        <v>130.6</v>
      </c>
      <c r="T119">
        <v>134.4</v>
      </c>
      <c r="U119" t="s">
        <v>32</v>
      </c>
      <c r="V119">
        <v>127</v>
      </c>
      <c r="W119">
        <v>128</v>
      </c>
      <c r="X119">
        <v>125.2</v>
      </c>
      <c r="Y119">
        <v>114.4</v>
      </c>
      <c r="Z119">
        <v>123.2</v>
      </c>
      <c r="AA119">
        <v>127.9</v>
      </c>
      <c r="AB119">
        <v>118.4</v>
      </c>
      <c r="AC119">
        <v>121.7</v>
      </c>
      <c r="AD119">
        <v>129</v>
      </c>
    </row>
    <row r="120" spans="1:30" x14ac:dyDescent="0.25">
      <c r="A120" t="s">
        <v>33</v>
      </c>
      <c r="B120">
        <v>2016</v>
      </c>
      <c r="C120" t="s">
        <v>37</v>
      </c>
      <c r="D120">
        <v>124.9</v>
      </c>
      <c r="E120">
        <v>139.30000000000001</v>
      </c>
      <c r="F120">
        <v>119.9</v>
      </c>
      <c r="G120">
        <v>130.19999999999999</v>
      </c>
      <c r="H120">
        <v>108.9</v>
      </c>
      <c r="I120">
        <v>131.1</v>
      </c>
      <c r="J120">
        <v>136.80000000000001</v>
      </c>
      <c r="K120">
        <v>176.9</v>
      </c>
      <c r="L120">
        <v>109.1</v>
      </c>
      <c r="M120">
        <v>140.4</v>
      </c>
      <c r="N120">
        <v>121.1</v>
      </c>
      <c r="O120">
        <v>135.9</v>
      </c>
      <c r="P120">
        <v>131.80000000000001</v>
      </c>
      <c r="Q120">
        <v>141.5</v>
      </c>
      <c r="R120">
        <v>126.8</v>
      </c>
      <c r="S120">
        <v>120.5</v>
      </c>
      <c r="T120">
        <v>125.8</v>
      </c>
      <c r="U120">
        <v>125.6</v>
      </c>
      <c r="V120">
        <v>114.6</v>
      </c>
      <c r="W120">
        <v>122.8</v>
      </c>
      <c r="X120">
        <v>120</v>
      </c>
      <c r="Y120">
        <v>110</v>
      </c>
      <c r="Z120">
        <v>119.5</v>
      </c>
      <c r="AA120">
        <v>127.6</v>
      </c>
      <c r="AB120">
        <v>117.6</v>
      </c>
      <c r="AC120">
        <v>118.2</v>
      </c>
      <c r="AD120">
        <v>125.3</v>
      </c>
    </row>
    <row r="121" spans="1:30" x14ac:dyDescent="0.25">
      <c r="A121" t="s">
        <v>34</v>
      </c>
      <c r="B121">
        <v>2016</v>
      </c>
      <c r="C121" t="s">
        <v>37</v>
      </c>
      <c r="D121">
        <v>126.6</v>
      </c>
      <c r="E121">
        <v>136.80000000000001</v>
      </c>
      <c r="F121">
        <v>122</v>
      </c>
      <c r="G121">
        <v>130.9</v>
      </c>
      <c r="H121">
        <v>114.8</v>
      </c>
      <c r="I121">
        <v>134.80000000000001</v>
      </c>
      <c r="J121">
        <v>135</v>
      </c>
      <c r="K121">
        <v>167.5</v>
      </c>
      <c r="L121">
        <v>106.4</v>
      </c>
      <c r="M121">
        <v>134.4</v>
      </c>
      <c r="N121">
        <v>123.6</v>
      </c>
      <c r="O121">
        <v>136.69999999999999</v>
      </c>
      <c r="P121">
        <v>131.80000000000001</v>
      </c>
      <c r="Q121">
        <v>137.1</v>
      </c>
      <c r="R121">
        <v>131.80000000000001</v>
      </c>
      <c r="S121">
        <v>126.4</v>
      </c>
      <c r="T121">
        <v>131</v>
      </c>
      <c r="U121">
        <v>125.6</v>
      </c>
      <c r="V121">
        <v>122.3</v>
      </c>
      <c r="W121">
        <v>125.5</v>
      </c>
      <c r="X121">
        <v>123.2</v>
      </c>
      <c r="Y121">
        <v>112.1</v>
      </c>
      <c r="Z121">
        <v>121.1</v>
      </c>
      <c r="AA121">
        <v>127.7</v>
      </c>
      <c r="AB121">
        <v>118.1</v>
      </c>
      <c r="AC121">
        <v>120</v>
      </c>
      <c r="AD121">
        <v>127.3</v>
      </c>
    </row>
    <row r="122" spans="1:30" x14ac:dyDescent="0.25">
      <c r="A122" t="s">
        <v>30</v>
      </c>
      <c r="B122">
        <v>2016</v>
      </c>
      <c r="C122" t="s">
        <v>38</v>
      </c>
      <c r="D122">
        <v>127.6</v>
      </c>
      <c r="E122">
        <v>137.5</v>
      </c>
      <c r="F122">
        <v>124.4</v>
      </c>
      <c r="G122">
        <v>132.4</v>
      </c>
      <c r="H122">
        <v>118.2</v>
      </c>
      <c r="I122">
        <v>138.1</v>
      </c>
      <c r="J122">
        <v>141.80000000000001</v>
      </c>
      <c r="K122">
        <v>166</v>
      </c>
      <c r="L122">
        <v>107.5</v>
      </c>
      <c r="M122">
        <v>132.19999999999999</v>
      </c>
      <c r="N122">
        <v>126.1</v>
      </c>
      <c r="O122">
        <v>138.30000000000001</v>
      </c>
      <c r="P122">
        <v>133.6</v>
      </c>
      <c r="Q122">
        <v>136</v>
      </c>
      <c r="R122">
        <v>135.4</v>
      </c>
      <c r="S122">
        <v>131.1</v>
      </c>
      <c r="T122">
        <v>134.80000000000001</v>
      </c>
      <c r="U122" t="s">
        <v>32</v>
      </c>
      <c r="V122">
        <v>127.4</v>
      </c>
      <c r="W122">
        <v>128.5</v>
      </c>
      <c r="X122">
        <v>125.8</v>
      </c>
      <c r="Y122">
        <v>115.1</v>
      </c>
      <c r="Z122">
        <v>123.6</v>
      </c>
      <c r="AA122">
        <v>129.1</v>
      </c>
      <c r="AB122">
        <v>119.7</v>
      </c>
      <c r="AC122">
        <v>122.5</v>
      </c>
      <c r="AD122">
        <v>130.30000000000001</v>
      </c>
    </row>
    <row r="123" spans="1:30" x14ac:dyDescent="0.25">
      <c r="A123" t="s">
        <v>33</v>
      </c>
      <c r="B123">
        <v>2016</v>
      </c>
      <c r="C123" t="s">
        <v>38</v>
      </c>
      <c r="D123">
        <v>125</v>
      </c>
      <c r="E123">
        <v>142.1</v>
      </c>
      <c r="F123">
        <v>127</v>
      </c>
      <c r="G123">
        <v>130.4</v>
      </c>
      <c r="H123">
        <v>109.6</v>
      </c>
      <c r="I123">
        <v>133.5</v>
      </c>
      <c r="J123">
        <v>151.4</v>
      </c>
      <c r="K123">
        <v>182.8</v>
      </c>
      <c r="L123">
        <v>111.1</v>
      </c>
      <c r="M123">
        <v>141.5</v>
      </c>
      <c r="N123">
        <v>121.5</v>
      </c>
      <c r="O123">
        <v>136.30000000000001</v>
      </c>
      <c r="P123">
        <v>134.6</v>
      </c>
      <c r="Q123">
        <v>142.19999999999999</v>
      </c>
      <c r="R123">
        <v>127.2</v>
      </c>
      <c r="S123">
        <v>120.7</v>
      </c>
      <c r="T123">
        <v>126.2</v>
      </c>
      <c r="U123">
        <v>126</v>
      </c>
      <c r="V123">
        <v>115</v>
      </c>
      <c r="W123">
        <v>123.2</v>
      </c>
      <c r="X123">
        <v>120.3</v>
      </c>
      <c r="Y123">
        <v>110.7</v>
      </c>
      <c r="Z123">
        <v>119.8</v>
      </c>
      <c r="AA123">
        <v>128</v>
      </c>
      <c r="AB123">
        <v>118.5</v>
      </c>
      <c r="AC123">
        <v>118.7</v>
      </c>
      <c r="AD123">
        <v>126.6</v>
      </c>
    </row>
    <row r="124" spans="1:30" x14ac:dyDescent="0.25">
      <c r="A124" t="s">
        <v>34</v>
      </c>
      <c r="B124">
        <v>2016</v>
      </c>
      <c r="C124" t="s">
        <v>38</v>
      </c>
      <c r="D124">
        <v>126.8</v>
      </c>
      <c r="E124">
        <v>139.1</v>
      </c>
      <c r="F124">
        <v>125.4</v>
      </c>
      <c r="G124">
        <v>131.69999999999999</v>
      </c>
      <c r="H124">
        <v>115</v>
      </c>
      <c r="I124">
        <v>136</v>
      </c>
      <c r="J124">
        <v>145.1</v>
      </c>
      <c r="K124">
        <v>171.7</v>
      </c>
      <c r="L124">
        <v>108.7</v>
      </c>
      <c r="M124">
        <v>135.30000000000001</v>
      </c>
      <c r="N124">
        <v>124.2</v>
      </c>
      <c r="O124">
        <v>137.4</v>
      </c>
      <c r="P124">
        <v>134</v>
      </c>
      <c r="Q124">
        <v>137.69999999999999</v>
      </c>
      <c r="R124">
        <v>132.19999999999999</v>
      </c>
      <c r="S124">
        <v>126.8</v>
      </c>
      <c r="T124">
        <v>131.4</v>
      </c>
      <c r="U124">
        <v>126</v>
      </c>
      <c r="V124">
        <v>122.7</v>
      </c>
      <c r="W124">
        <v>126</v>
      </c>
      <c r="X124">
        <v>123.7</v>
      </c>
      <c r="Y124">
        <v>112.8</v>
      </c>
      <c r="Z124">
        <v>121.5</v>
      </c>
      <c r="AA124">
        <v>128.5</v>
      </c>
      <c r="AB124">
        <v>119.2</v>
      </c>
      <c r="AC124">
        <v>120.7</v>
      </c>
      <c r="AD124">
        <v>128.6</v>
      </c>
    </row>
    <row r="125" spans="1:30" x14ac:dyDescent="0.25">
      <c r="A125" t="s">
        <v>30</v>
      </c>
      <c r="B125">
        <v>2016</v>
      </c>
      <c r="C125" t="s">
        <v>39</v>
      </c>
      <c r="D125">
        <v>128.6</v>
      </c>
      <c r="E125">
        <v>138.6</v>
      </c>
      <c r="F125">
        <v>126.6</v>
      </c>
      <c r="G125">
        <v>133.6</v>
      </c>
      <c r="H125">
        <v>118.6</v>
      </c>
      <c r="I125">
        <v>137.4</v>
      </c>
      <c r="J125">
        <v>152.5</v>
      </c>
      <c r="K125">
        <v>169.2</v>
      </c>
      <c r="L125">
        <v>108.8</v>
      </c>
      <c r="M125">
        <v>133.1</v>
      </c>
      <c r="N125">
        <v>126.4</v>
      </c>
      <c r="O125">
        <v>139.19999999999999</v>
      </c>
      <c r="P125">
        <v>136</v>
      </c>
      <c r="Q125">
        <v>137.19999999999999</v>
      </c>
      <c r="R125">
        <v>136.30000000000001</v>
      </c>
      <c r="S125">
        <v>131.6</v>
      </c>
      <c r="T125">
        <v>135.6</v>
      </c>
      <c r="U125" t="s">
        <v>32</v>
      </c>
      <c r="V125">
        <v>128</v>
      </c>
      <c r="W125">
        <v>129.30000000000001</v>
      </c>
      <c r="X125">
        <v>126.2</v>
      </c>
      <c r="Y125">
        <v>116.3</v>
      </c>
      <c r="Z125">
        <v>124.1</v>
      </c>
      <c r="AA125">
        <v>130.19999999999999</v>
      </c>
      <c r="AB125">
        <v>119.9</v>
      </c>
      <c r="AC125">
        <v>123.3</v>
      </c>
      <c r="AD125">
        <v>131.9</v>
      </c>
    </row>
    <row r="126" spans="1:30" x14ac:dyDescent="0.25">
      <c r="A126" t="s">
        <v>33</v>
      </c>
      <c r="B126">
        <v>2016</v>
      </c>
      <c r="C126" t="s">
        <v>39</v>
      </c>
      <c r="D126">
        <v>125.9</v>
      </c>
      <c r="E126">
        <v>143.9</v>
      </c>
      <c r="F126">
        <v>130.9</v>
      </c>
      <c r="G126">
        <v>131</v>
      </c>
      <c r="H126">
        <v>110.2</v>
      </c>
      <c r="I126">
        <v>135.5</v>
      </c>
      <c r="J126">
        <v>173.7</v>
      </c>
      <c r="K126">
        <v>184.4</v>
      </c>
      <c r="L126">
        <v>112</v>
      </c>
      <c r="M126">
        <v>142.80000000000001</v>
      </c>
      <c r="N126">
        <v>121.6</v>
      </c>
      <c r="O126">
        <v>136.9</v>
      </c>
      <c r="P126">
        <v>138.19999999999999</v>
      </c>
      <c r="Q126">
        <v>142.69999999999999</v>
      </c>
      <c r="R126">
        <v>127.6</v>
      </c>
      <c r="S126">
        <v>121.1</v>
      </c>
      <c r="T126">
        <v>126.6</v>
      </c>
      <c r="U126">
        <v>125.5</v>
      </c>
      <c r="V126">
        <v>115.5</v>
      </c>
      <c r="W126">
        <v>123.2</v>
      </c>
      <c r="X126">
        <v>120.6</v>
      </c>
      <c r="Y126">
        <v>112.3</v>
      </c>
      <c r="Z126">
        <v>119.9</v>
      </c>
      <c r="AA126">
        <v>129.30000000000001</v>
      </c>
      <c r="AB126">
        <v>118.8</v>
      </c>
      <c r="AC126">
        <v>119.6</v>
      </c>
      <c r="AD126">
        <v>128.1</v>
      </c>
    </row>
    <row r="127" spans="1:30" x14ac:dyDescent="0.25">
      <c r="A127" t="s">
        <v>34</v>
      </c>
      <c r="B127">
        <v>2016</v>
      </c>
      <c r="C127" t="s">
        <v>39</v>
      </c>
      <c r="D127">
        <v>127.7</v>
      </c>
      <c r="E127">
        <v>140.5</v>
      </c>
      <c r="F127">
        <v>128.30000000000001</v>
      </c>
      <c r="G127">
        <v>132.6</v>
      </c>
      <c r="H127">
        <v>115.5</v>
      </c>
      <c r="I127">
        <v>136.5</v>
      </c>
      <c r="J127">
        <v>159.69999999999999</v>
      </c>
      <c r="K127">
        <v>174.3</v>
      </c>
      <c r="L127">
        <v>109.9</v>
      </c>
      <c r="M127">
        <v>136.30000000000001</v>
      </c>
      <c r="N127">
        <v>124.4</v>
      </c>
      <c r="O127">
        <v>138.1</v>
      </c>
      <c r="P127">
        <v>136.80000000000001</v>
      </c>
      <c r="Q127">
        <v>138.69999999999999</v>
      </c>
      <c r="R127">
        <v>132.9</v>
      </c>
      <c r="S127">
        <v>127.2</v>
      </c>
      <c r="T127">
        <v>132</v>
      </c>
      <c r="U127">
        <v>125.5</v>
      </c>
      <c r="V127">
        <v>123.3</v>
      </c>
      <c r="W127">
        <v>126.4</v>
      </c>
      <c r="X127">
        <v>124.1</v>
      </c>
      <c r="Y127">
        <v>114.2</v>
      </c>
      <c r="Z127">
        <v>121.7</v>
      </c>
      <c r="AA127">
        <v>129.69999999999999</v>
      </c>
      <c r="AB127">
        <v>119.4</v>
      </c>
      <c r="AC127">
        <v>121.5</v>
      </c>
      <c r="AD127">
        <v>130.1</v>
      </c>
    </row>
    <row r="128" spans="1:30" x14ac:dyDescent="0.25">
      <c r="A128" t="s">
        <v>30</v>
      </c>
      <c r="B128">
        <v>2016</v>
      </c>
      <c r="C128" t="s">
        <v>40</v>
      </c>
      <c r="D128">
        <v>129.30000000000001</v>
      </c>
      <c r="E128">
        <v>139.5</v>
      </c>
      <c r="F128">
        <v>129.6</v>
      </c>
      <c r="G128">
        <v>134.5</v>
      </c>
      <c r="H128">
        <v>119.5</v>
      </c>
      <c r="I128">
        <v>138.5</v>
      </c>
      <c r="J128">
        <v>158.19999999999999</v>
      </c>
      <c r="K128">
        <v>171.8</v>
      </c>
      <c r="L128">
        <v>110.3</v>
      </c>
      <c r="M128">
        <v>134.30000000000001</v>
      </c>
      <c r="N128">
        <v>127.3</v>
      </c>
      <c r="O128">
        <v>139.9</v>
      </c>
      <c r="P128">
        <v>137.6</v>
      </c>
      <c r="Q128">
        <v>138</v>
      </c>
      <c r="R128">
        <v>137.19999999999999</v>
      </c>
      <c r="S128">
        <v>132.19999999999999</v>
      </c>
      <c r="T128">
        <v>136.5</v>
      </c>
      <c r="U128" t="s">
        <v>32</v>
      </c>
      <c r="V128">
        <v>128.19999999999999</v>
      </c>
      <c r="W128">
        <v>130</v>
      </c>
      <c r="X128">
        <v>126.7</v>
      </c>
      <c r="Y128">
        <v>116.4</v>
      </c>
      <c r="Z128">
        <v>125.2</v>
      </c>
      <c r="AA128">
        <v>130.80000000000001</v>
      </c>
      <c r="AB128">
        <v>120.9</v>
      </c>
      <c r="AC128">
        <v>123.8</v>
      </c>
      <c r="AD128">
        <v>133</v>
      </c>
    </row>
    <row r="129" spans="1:30" x14ac:dyDescent="0.25">
      <c r="A129" t="s">
        <v>33</v>
      </c>
      <c r="B129">
        <v>2016</v>
      </c>
      <c r="C129" t="s">
        <v>40</v>
      </c>
      <c r="D129">
        <v>126.8</v>
      </c>
      <c r="E129">
        <v>144.19999999999999</v>
      </c>
      <c r="F129">
        <v>136.6</v>
      </c>
      <c r="G129">
        <v>131.80000000000001</v>
      </c>
      <c r="H129">
        <v>111</v>
      </c>
      <c r="I129">
        <v>137</v>
      </c>
      <c r="J129">
        <v>179.5</v>
      </c>
      <c r="K129">
        <v>188.4</v>
      </c>
      <c r="L129">
        <v>113.3</v>
      </c>
      <c r="M129">
        <v>143.9</v>
      </c>
      <c r="N129">
        <v>121.7</v>
      </c>
      <c r="O129">
        <v>137.5</v>
      </c>
      <c r="P129">
        <v>139.80000000000001</v>
      </c>
      <c r="Q129">
        <v>142.9</v>
      </c>
      <c r="R129">
        <v>127.9</v>
      </c>
      <c r="S129">
        <v>121.1</v>
      </c>
      <c r="T129">
        <v>126.9</v>
      </c>
      <c r="U129">
        <v>126.4</v>
      </c>
      <c r="V129">
        <v>115.5</v>
      </c>
      <c r="W129">
        <v>123.5</v>
      </c>
      <c r="X129">
        <v>120.9</v>
      </c>
      <c r="Y129">
        <v>111.7</v>
      </c>
      <c r="Z129">
        <v>120.3</v>
      </c>
      <c r="AA129">
        <v>130.80000000000001</v>
      </c>
      <c r="AB129">
        <v>120</v>
      </c>
      <c r="AC129">
        <v>119.9</v>
      </c>
      <c r="AD129">
        <v>129</v>
      </c>
    </row>
    <row r="130" spans="1:30" x14ac:dyDescent="0.25">
      <c r="A130" t="s">
        <v>34</v>
      </c>
      <c r="B130">
        <v>2016</v>
      </c>
      <c r="C130" t="s">
        <v>40</v>
      </c>
      <c r="D130">
        <v>128.5</v>
      </c>
      <c r="E130">
        <v>141.19999999999999</v>
      </c>
      <c r="F130">
        <v>132.30000000000001</v>
      </c>
      <c r="G130">
        <v>133.5</v>
      </c>
      <c r="H130">
        <v>116.4</v>
      </c>
      <c r="I130">
        <v>137.80000000000001</v>
      </c>
      <c r="J130">
        <v>165.4</v>
      </c>
      <c r="K130">
        <v>177.4</v>
      </c>
      <c r="L130">
        <v>111.3</v>
      </c>
      <c r="M130">
        <v>137.5</v>
      </c>
      <c r="N130">
        <v>125</v>
      </c>
      <c r="O130">
        <v>138.80000000000001</v>
      </c>
      <c r="P130">
        <v>138.4</v>
      </c>
      <c r="Q130">
        <v>139.30000000000001</v>
      </c>
      <c r="R130">
        <v>133.5</v>
      </c>
      <c r="S130">
        <v>127.6</v>
      </c>
      <c r="T130">
        <v>132.69999999999999</v>
      </c>
      <c r="U130">
        <v>126.4</v>
      </c>
      <c r="V130">
        <v>123.4</v>
      </c>
      <c r="W130">
        <v>126.9</v>
      </c>
      <c r="X130">
        <v>124.5</v>
      </c>
      <c r="Y130">
        <v>113.9</v>
      </c>
      <c r="Z130">
        <v>122.4</v>
      </c>
      <c r="AA130">
        <v>130.80000000000001</v>
      </c>
      <c r="AB130">
        <v>120.5</v>
      </c>
      <c r="AC130">
        <v>121.9</v>
      </c>
      <c r="AD130">
        <v>131.1</v>
      </c>
    </row>
    <row r="131" spans="1:30" x14ac:dyDescent="0.25">
      <c r="A131" t="s">
        <v>30</v>
      </c>
      <c r="B131">
        <v>2016</v>
      </c>
      <c r="C131" t="s">
        <v>41</v>
      </c>
      <c r="D131">
        <v>130.1</v>
      </c>
      <c r="E131">
        <v>138.80000000000001</v>
      </c>
      <c r="F131">
        <v>130.30000000000001</v>
      </c>
      <c r="G131">
        <v>135.30000000000001</v>
      </c>
      <c r="H131">
        <v>119.9</v>
      </c>
      <c r="I131">
        <v>140.19999999999999</v>
      </c>
      <c r="J131">
        <v>156.9</v>
      </c>
      <c r="K131">
        <v>172.2</v>
      </c>
      <c r="L131">
        <v>112.1</v>
      </c>
      <c r="M131">
        <v>134.9</v>
      </c>
      <c r="N131">
        <v>128.1</v>
      </c>
      <c r="O131">
        <v>140.69999999999999</v>
      </c>
      <c r="P131">
        <v>138</v>
      </c>
      <c r="Q131">
        <v>138.9</v>
      </c>
      <c r="R131">
        <v>137.80000000000001</v>
      </c>
      <c r="S131">
        <v>133</v>
      </c>
      <c r="T131">
        <v>137.1</v>
      </c>
      <c r="U131" t="s">
        <v>32</v>
      </c>
      <c r="V131">
        <v>129.1</v>
      </c>
      <c r="W131">
        <v>130.6</v>
      </c>
      <c r="X131">
        <v>127</v>
      </c>
      <c r="Y131">
        <v>116</v>
      </c>
      <c r="Z131">
        <v>125.5</v>
      </c>
      <c r="AA131">
        <v>131.9</v>
      </c>
      <c r="AB131">
        <v>122</v>
      </c>
      <c r="AC131">
        <v>124.2</v>
      </c>
      <c r="AD131">
        <v>133.5</v>
      </c>
    </row>
    <row r="132" spans="1:30" x14ac:dyDescent="0.25">
      <c r="A132" t="s">
        <v>33</v>
      </c>
      <c r="B132">
        <v>2016</v>
      </c>
      <c r="C132" t="s">
        <v>41</v>
      </c>
      <c r="D132">
        <v>127.6</v>
      </c>
      <c r="E132">
        <v>140.30000000000001</v>
      </c>
      <c r="F132">
        <v>133.69999999999999</v>
      </c>
      <c r="G132">
        <v>132.19999999999999</v>
      </c>
      <c r="H132">
        <v>111.8</v>
      </c>
      <c r="I132">
        <v>135.80000000000001</v>
      </c>
      <c r="J132">
        <v>163.5</v>
      </c>
      <c r="K132">
        <v>182.3</v>
      </c>
      <c r="L132">
        <v>114.6</v>
      </c>
      <c r="M132">
        <v>144.6</v>
      </c>
      <c r="N132">
        <v>121.9</v>
      </c>
      <c r="O132">
        <v>138.1</v>
      </c>
      <c r="P132">
        <v>137.6</v>
      </c>
      <c r="Q132">
        <v>143.6</v>
      </c>
      <c r="R132">
        <v>128.30000000000001</v>
      </c>
      <c r="S132">
        <v>121.4</v>
      </c>
      <c r="T132">
        <v>127.3</v>
      </c>
      <c r="U132">
        <v>127.3</v>
      </c>
      <c r="V132">
        <v>114.7</v>
      </c>
      <c r="W132">
        <v>123.9</v>
      </c>
      <c r="X132">
        <v>121.2</v>
      </c>
      <c r="Y132">
        <v>110.4</v>
      </c>
      <c r="Z132">
        <v>120.6</v>
      </c>
      <c r="AA132">
        <v>131.5</v>
      </c>
      <c r="AB132">
        <v>120.9</v>
      </c>
      <c r="AC132">
        <v>119.9</v>
      </c>
      <c r="AD132">
        <v>128.4</v>
      </c>
    </row>
    <row r="133" spans="1:30" x14ac:dyDescent="0.25">
      <c r="A133" t="s">
        <v>34</v>
      </c>
      <c r="B133">
        <v>2016</v>
      </c>
      <c r="C133" t="s">
        <v>41</v>
      </c>
      <c r="D133">
        <v>129.30000000000001</v>
      </c>
      <c r="E133">
        <v>139.30000000000001</v>
      </c>
      <c r="F133">
        <v>131.6</v>
      </c>
      <c r="G133">
        <v>134.1</v>
      </c>
      <c r="H133">
        <v>116.9</v>
      </c>
      <c r="I133">
        <v>138.1</v>
      </c>
      <c r="J133">
        <v>159.1</v>
      </c>
      <c r="K133">
        <v>175.6</v>
      </c>
      <c r="L133">
        <v>112.9</v>
      </c>
      <c r="M133">
        <v>138.1</v>
      </c>
      <c r="N133">
        <v>125.5</v>
      </c>
      <c r="O133">
        <v>139.5</v>
      </c>
      <c r="P133">
        <v>137.9</v>
      </c>
      <c r="Q133">
        <v>140.19999999999999</v>
      </c>
      <c r="R133">
        <v>134.1</v>
      </c>
      <c r="S133">
        <v>128.19999999999999</v>
      </c>
      <c r="T133">
        <v>133.19999999999999</v>
      </c>
      <c r="U133">
        <v>127.3</v>
      </c>
      <c r="V133">
        <v>123.6</v>
      </c>
      <c r="W133">
        <v>127.4</v>
      </c>
      <c r="X133">
        <v>124.8</v>
      </c>
      <c r="Y133">
        <v>113.1</v>
      </c>
      <c r="Z133">
        <v>122.7</v>
      </c>
      <c r="AA133">
        <v>131.69999999999999</v>
      </c>
      <c r="AB133">
        <v>121.5</v>
      </c>
      <c r="AC133">
        <v>122.1</v>
      </c>
      <c r="AD133">
        <v>131.1</v>
      </c>
    </row>
    <row r="134" spans="1:30" x14ac:dyDescent="0.25">
      <c r="A134" t="s">
        <v>30</v>
      </c>
      <c r="B134">
        <v>2016</v>
      </c>
      <c r="C134" t="s">
        <v>42</v>
      </c>
      <c r="D134">
        <v>130.80000000000001</v>
      </c>
      <c r="E134">
        <v>138.19999999999999</v>
      </c>
      <c r="F134">
        <v>130.5</v>
      </c>
      <c r="G134">
        <v>135.5</v>
      </c>
      <c r="H134">
        <v>120.2</v>
      </c>
      <c r="I134">
        <v>139.19999999999999</v>
      </c>
      <c r="J134">
        <v>149.5</v>
      </c>
      <c r="K134">
        <v>170.4</v>
      </c>
      <c r="L134">
        <v>113.1</v>
      </c>
      <c r="M134">
        <v>135.80000000000001</v>
      </c>
      <c r="N134">
        <v>128.80000000000001</v>
      </c>
      <c r="O134">
        <v>141.5</v>
      </c>
      <c r="P134">
        <v>137.19999999999999</v>
      </c>
      <c r="Q134">
        <v>139.9</v>
      </c>
      <c r="R134">
        <v>138.5</v>
      </c>
      <c r="S134">
        <v>133.5</v>
      </c>
      <c r="T134">
        <v>137.80000000000001</v>
      </c>
      <c r="U134" t="s">
        <v>32</v>
      </c>
      <c r="V134">
        <v>129.69999999999999</v>
      </c>
      <c r="W134">
        <v>131.1</v>
      </c>
      <c r="X134">
        <v>127.8</v>
      </c>
      <c r="Y134">
        <v>117</v>
      </c>
      <c r="Z134">
        <v>125.7</v>
      </c>
      <c r="AA134">
        <v>132.19999999999999</v>
      </c>
      <c r="AB134">
        <v>122.8</v>
      </c>
      <c r="AC134">
        <v>124.9</v>
      </c>
      <c r="AD134">
        <v>133.4</v>
      </c>
    </row>
    <row r="135" spans="1:30" x14ac:dyDescent="0.25">
      <c r="A135" t="s">
        <v>33</v>
      </c>
      <c r="B135">
        <v>2016</v>
      </c>
      <c r="C135" t="s">
        <v>42</v>
      </c>
      <c r="D135">
        <v>128.1</v>
      </c>
      <c r="E135">
        <v>137.69999999999999</v>
      </c>
      <c r="F135">
        <v>130.6</v>
      </c>
      <c r="G135">
        <v>132.6</v>
      </c>
      <c r="H135">
        <v>111.9</v>
      </c>
      <c r="I135">
        <v>132.5</v>
      </c>
      <c r="J135">
        <v>152.9</v>
      </c>
      <c r="K135">
        <v>173.6</v>
      </c>
      <c r="L135">
        <v>115.1</v>
      </c>
      <c r="M135">
        <v>144.80000000000001</v>
      </c>
      <c r="N135">
        <v>122.1</v>
      </c>
      <c r="O135">
        <v>138.80000000000001</v>
      </c>
      <c r="P135">
        <v>135.69999999999999</v>
      </c>
      <c r="Q135">
        <v>143.9</v>
      </c>
      <c r="R135">
        <v>128.69999999999999</v>
      </c>
      <c r="S135">
        <v>121.6</v>
      </c>
      <c r="T135">
        <v>127.7</v>
      </c>
      <c r="U135">
        <v>127.9</v>
      </c>
      <c r="V135">
        <v>114.8</v>
      </c>
      <c r="W135">
        <v>124.3</v>
      </c>
      <c r="X135">
        <v>121.4</v>
      </c>
      <c r="Y135">
        <v>111.8</v>
      </c>
      <c r="Z135">
        <v>120.8</v>
      </c>
      <c r="AA135">
        <v>131.6</v>
      </c>
      <c r="AB135">
        <v>121.2</v>
      </c>
      <c r="AC135">
        <v>120.5</v>
      </c>
      <c r="AD135">
        <v>128</v>
      </c>
    </row>
    <row r="136" spans="1:30" x14ac:dyDescent="0.25">
      <c r="A136" t="s">
        <v>34</v>
      </c>
      <c r="B136">
        <v>2016</v>
      </c>
      <c r="C136" t="s">
        <v>42</v>
      </c>
      <c r="D136">
        <v>129.9</v>
      </c>
      <c r="E136">
        <v>138</v>
      </c>
      <c r="F136">
        <v>130.5</v>
      </c>
      <c r="G136">
        <v>134.4</v>
      </c>
      <c r="H136">
        <v>117.2</v>
      </c>
      <c r="I136">
        <v>136.1</v>
      </c>
      <c r="J136">
        <v>150.69999999999999</v>
      </c>
      <c r="K136">
        <v>171.5</v>
      </c>
      <c r="L136">
        <v>113.8</v>
      </c>
      <c r="M136">
        <v>138.80000000000001</v>
      </c>
      <c r="N136">
        <v>126</v>
      </c>
      <c r="O136">
        <v>140.19999999999999</v>
      </c>
      <c r="P136">
        <v>136.6</v>
      </c>
      <c r="Q136">
        <v>141</v>
      </c>
      <c r="R136">
        <v>134.6</v>
      </c>
      <c r="S136">
        <v>128.6</v>
      </c>
      <c r="T136">
        <v>133.80000000000001</v>
      </c>
      <c r="U136">
        <v>127.9</v>
      </c>
      <c r="V136">
        <v>124.1</v>
      </c>
      <c r="W136">
        <v>127.9</v>
      </c>
      <c r="X136">
        <v>125.4</v>
      </c>
      <c r="Y136">
        <v>114.3</v>
      </c>
      <c r="Z136">
        <v>122.9</v>
      </c>
      <c r="AA136">
        <v>131.80000000000001</v>
      </c>
      <c r="AB136">
        <v>122.1</v>
      </c>
      <c r="AC136">
        <v>122.8</v>
      </c>
      <c r="AD136">
        <v>130.9</v>
      </c>
    </row>
    <row r="137" spans="1:30" x14ac:dyDescent="0.25">
      <c r="A137" t="s">
        <v>30</v>
      </c>
      <c r="B137">
        <v>2016</v>
      </c>
      <c r="C137" t="s">
        <v>43</v>
      </c>
      <c r="D137">
        <v>131.30000000000001</v>
      </c>
      <c r="E137">
        <v>137.6</v>
      </c>
      <c r="F137">
        <v>130.1</v>
      </c>
      <c r="G137">
        <v>136</v>
      </c>
      <c r="H137">
        <v>120.8</v>
      </c>
      <c r="I137">
        <v>138.4</v>
      </c>
      <c r="J137">
        <v>149.19999999999999</v>
      </c>
      <c r="K137">
        <v>170.2</v>
      </c>
      <c r="L137">
        <v>113.4</v>
      </c>
      <c r="M137">
        <v>136.30000000000001</v>
      </c>
      <c r="N137">
        <v>128.69999999999999</v>
      </c>
      <c r="O137">
        <v>142.4</v>
      </c>
      <c r="P137">
        <v>137.4</v>
      </c>
      <c r="Q137">
        <v>140.9</v>
      </c>
      <c r="R137">
        <v>139.6</v>
      </c>
      <c r="S137">
        <v>134.30000000000001</v>
      </c>
      <c r="T137">
        <v>138.80000000000001</v>
      </c>
      <c r="U137" t="s">
        <v>32</v>
      </c>
      <c r="V137">
        <v>129.80000000000001</v>
      </c>
      <c r="W137">
        <v>131.80000000000001</v>
      </c>
      <c r="X137">
        <v>128.69999999999999</v>
      </c>
      <c r="Y137">
        <v>117.8</v>
      </c>
      <c r="Z137">
        <v>126.5</v>
      </c>
      <c r="AA137">
        <v>133</v>
      </c>
      <c r="AB137">
        <v>123</v>
      </c>
      <c r="AC137">
        <v>125.7</v>
      </c>
      <c r="AD137">
        <v>133.80000000000001</v>
      </c>
    </row>
    <row r="138" spans="1:30" x14ac:dyDescent="0.25">
      <c r="A138" t="s">
        <v>33</v>
      </c>
      <c r="B138">
        <v>2016</v>
      </c>
      <c r="C138" t="s">
        <v>43</v>
      </c>
      <c r="D138">
        <v>128.69999999999999</v>
      </c>
      <c r="E138">
        <v>138.4</v>
      </c>
      <c r="F138">
        <v>130.30000000000001</v>
      </c>
      <c r="G138">
        <v>132.69999999999999</v>
      </c>
      <c r="H138">
        <v>112.5</v>
      </c>
      <c r="I138">
        <v>130.4</v>
      </c>
      <c r="J138">
        <v>155.1</v>
      </c>
      <c r="K138">
        <v>175.7</v>
      </c>
      <c r="L138">
        <v>115.4</v>
      </c>
      <c r="M138">
        <v>145.30000000000001</v>
      </c>
      <c r="N138">
        <v>122.5</v>
      </c>
      <c r="O138">
        <v>139.6</v>
      </c>
      <c r="P138">
        <v>136.30000000000001</v>
      </c>
      <c r="Q138">
        <v>144.30000000000001</v>
      </c>
      <c r="R138">
        <v>129.1</v>
      </c>
      <c r="S138">
        <v>121.9</v>
      </c>
      <c r="T138">
        <v>128</v>
      </c>
      <c r="U138">
        <v>128.69999999999999</v>
      </c>
      <c r="V138">
        <v>115.2</v>
      </c>
      <c r="W138">
        <v>124.5</v>
      </c>
      <c r="X138">
        <v>121.8</v>
      </c>
      <c r="Y138">
        <v>112.8</v>
      </c>
      <c r="Z138">
        <v>121.2</v>
      </c>
      <c r="AA138">
        <v>131.9</v>
      </c>
      <c r="AB138">
        <v>120.8</v>
      </c>
      <c r="AC138">
        <v>120.9</v>
      </c>
      <c r="AD138">
        <v>128.6</v>
      </c>
    </row>
    <row r="139" spans="1:30" x14ac:dyDescent="0.25">
      <c r="A139" t="s">
        <v>34</v>
      </c>
      <c r="B139">
        <v>2016</v>
      </c>
      <c r="C139" t="s">
        <v>43</v>
      </c>
      <c r="D139">
        <v>130.5</v>
      </c>
      <c r="E139">
        <v>137.9</v>
      </c>
      <c r="F139">
        <v>130.19999999999999</v>
      </c>
      <c r="G139">
        <v>134.80000000000001</v>
      </c>
      <c r="H139">
        <v>117.8</v>
      </c>
      <c r="I139">
        <v>134.69999999999999</v>
      </c>
      <c r="J139">
        <v>151.19999999999999</v>
      </c>
      <c r="K139">
        <v>172.1</v>
      </c>
      <c r="L139">
        <v>114.1</v>
      </c>
      <c r="M139">
        <v>139.30000000000001</v>
      </c>
      <c r="N139">
        <v>126.1</v>
      </c>
      <c r="O139">
        <v>141.1</v>
      </c>
      <c r="P139">
        <v>137</v>
      </c>
      <c r="Q139">
        <v>141.80000000000001</v>
      </c>
      <c r="R139">
        <v>135.5</v>
      </c>
      <c r="S139">
        <v>129.1</v>
      </c>
      <c r="T139">
        <v>134.5</v>
      </c>
      <c r="U139">
        <v>128.69999999999999</v>
      </c>
      <c r="V139">
        <v>124.3</v>
      </c>
      <c r="W139">
        <v>128.4</v>
      </c>
      <c r="X139">
        <v>126.1</v>
      </c>
      <c r="Y139">
        <v>115.2</v>
      </c>
      <c r="Z139">
        <v>123.5</v>
      </c>
      <c r="AA139">
        <v>132.4</v>
      </c>
      <c r="AB139">
        <v>122.1</v>
      </c>
      <c r="AC139">
        <v>123.4</v>
      </c>
      <c r="AD139">
        <v>131.4</v>
      </c>
    </row>
    <row r="140" spans="1:30" x14ac:dyDescent="0.25">
      <c r="A140" t="s">
        <v>30</v>
      </c>
      <c r="B140">
        <v>2016</v>
      </c>
      <c r="C140" t="s">
        <v>45</v>
      </c>
      <c r="D140">
        <v>132</v>
      </c>
      <c r="E140">
        <v>137.4</v>
      </c>
      <c r="F140">
        <v>130.6</v>
      </c>
      <c r="G140">
        <v>136.19999999999999</v>
      </c>
      <c r="H140">
        <v>121.1</v>
      </c>
      <c r="I140">
        <v>136.9</v>
      </c>
      <c r="J140">
        <v>141.80000000000001</v>
      </c>
      <c r="K140">
        <v>170</v>
      </c>
      <c r="L140">
        <v>113.4</v>
      </c>
      <c r="M140">
        <v>136.80000000000001</v>
      </c>
      <c r="N140">
        <v>128.69999999999999</v>
      </c>
      <c r="O140">
        <v>143.1</v>
      </c>
      <c r="P140">
        <v>136.6</v>
      </c>
      <c r="Q140">
        <v>141.19999999999999</v>
      </c>
      <c r="R140">
        <v>139.9</v>
      </c>
      <c r="S140">
        <v>134.5</v>
      </c>
      <c r="T140">
        <v>139.19999999999999</v>
      </c>
      <c r="U140" t="s">
        <v>32</v>
      </c>
      <c r="V140">
        <v>130.30000000000001</v>
      </c>
      <c r="W140">
        <v>132.1</v>
      </c>
      <c r="X140">
        <v>129.1</v>
      </c>
      <c r="Y140">
        <v>118.2</v>
      </c>
      <c r="Z140">
        <v>126.9</v>
      </c>
      <c r="AA140">
        <v>133.69999999999999</v>
      </c>
      <c r="AB140">
        <v>123.5</v>
      </c>
      <c r="AC140">
        <v>126.1</v>
      </c>
      <c r="AD140">
        <v>133.6</v>
      </c>
    </row>
    <row r="141" spans="1:30" x14ac:dyDescent="0.25">
      <c r="A141" t="s">
        <v>33</v>
      </c>
      <c r="B141">
        <v>2016</v>
      </c>
      <c r="C141" t="s">
        <v>45</v>
      </c>
      <c r="D141">
        <v>130.19999999999999</v>
      </c>
      <c r="E141">
        <v>138.5</v>
      </c>
      <c r="F141">
        <v>134.1</v>
      </c>
      <c r="G141">
        <v>132.9</v>
      </c>
      <c r="H141">
        <v>112.6</v>
      </c>
      <c r="I141">
        <v>130.80000000000001</v>
      </c>
      <c r="J141">
        <v>142</v>
      </c>
      <c r="K141">
        <v>174.9</v>
      </c>
      <c r="L141">
        <v>115.6</v>
      </c>
      <c r="M141">
        <v>145.4</v>
      </c>
      <c r="N141">
        <v>122.7</v>
      </c>
      <c r="O141">
        <v>140.30000000000001</v>
      </c>
      <c r="P141">
        <v>135.19999999999999</v>
      </c>
      <c r="Q141">
        <v>144.30000000000001</v>
      </c>
      <c r="R141">
        <v>129.6</v>
      </c>
      <c r="S141">
        <v>122.1</v>
      </c>
      <c r="T141">
        <v>128.5</v>
      </c>
      <c r="U141">
        <v>129.1</v>
      </c>
      <c r="V141">
        <v>116.2</v>
      </c>
      <c r="W141">
        <v>124.7</v>
      </c>
      <c r="X141">
        <v>122.1</v>
      </c>
      <c r="Y141">
        <v>113.4</v>
      </c>
      <c r="Z141">
        <v>121.7</v>
      </c>
      <c r="AA141">
        <v>132.1</v>
      </c>
      <c r="AB141">
        <v>121.3</v>
      </c>
      <c r="AC141">
        <v>121.3</v>
      </c>
      <c r="AD141">
        <v>128.5</v>
      </c>
    </row>
    <row r="142" spans="1:30" x14ac:dyDescent="0.25">
      <c r="A142" t="s">
        <v>34</v>
      </c>
      <c r="B142">
        <v>2016</v>
      </c>
      <c r="C142" t="s">
        <v>45</v>
      </c>
      <c r="D142">
        <v>131.4</v>
      </c>
      <c r="E142">
        <v>137.80000000000001</v>
      </c>
      <c r="F142">
        <v>132</v>
      </c>
      <c r="G142">
        <v>135</v>
      </c>
      <c r="H142">
        <v>118</v>
      </c>
      <c r="I142">
        <v>134.1</v>
      </c>
      <c r="J142">
        <v>141.9</v>
      </c>
      <c r="K142">
        <v>171.7</v>
      </c>
      <c r="L142">
        <v>114.1</v>
      </c>
      <c r="M142">
        <v>139.69999999999999</v>
      </c>
      <c r="N142">
        <v>126.2</v>
      </c>
      <c r="O142">
        <v>141.80000000000001</v>
      </c>
      <c r="P142">
        <v>136.1</v>
      </c>
      <c r="Q142">
        <v>142</v>
      </c>
      <c r="R142">
        <v>135.80000000000001</v>
      </c>
      <c r="S142">
        <v>129.30000000000001</v>
      </c>
      <c r="T142">
        <v>135</v>
      </c>
      <c r="U142">
        <v>129.1</v>
      </c>
      <c r="V142">
        <v>125</v>
      </c>
      <c r="W142">
        <v>128.6</v>
      </c>
      <c r="X142">
        <v>126.4</v>
      </c>
      <c r="Y142">
        <v>115.7</v>
      </c>
      <c r="Z142">
        <v>124</v>
      </c>
      <c r="AA142">
        <v>132.80000000000001</v>
      </c>
      <c r="AB142">
        <v>122.6</v>
      </c>
      <c r="AC142">
        <v>123.8</v>
      </c>
      <c r="AD142">
        <v>131.19999999999999</v>
      </c>
    </row>
    <row r="143" spans="1:30" x14ac:dyDescent="0.25">
      <c r="A143" t="s">
        <v>30</v>
      </c>
      <c r="B143">
        <v>2016</v>
      </c>
      <c r="C143" t="s">
        <v>46</v>
      </c>
      <c r="D143">
        <v>132.6</v>
      </c>
      <c r="E143">
        <v>137.30000000000001</v>
      </c>
      <c r="F143">
        <v>131.6</v>
      </c>
      <c r="G143">
        <v>136.30000000000001</v>
      </c>
      <c r="H143">
        <v>121.6</v>
      </c>
      <c r="I143">
        <v>135.6</v>
      </c>
      <c r="J143">
        <v>127.5</v>
      </c>
      <c r="K143">
        <v>167.9</v>
      </c>
      <c r="L143">
        <v>113.8</v>
      </c>
      <c r="M143">
        <v>137.5</v>
      </c>
      <c r="N143">
        <v>129.1</v>
      </c>
      <c r="O143">
        <v>143.6</v>
      </c>
      <c r="P143">
        <v>134.69999999999999</v>
      </c>
      <c r="Q143">
        <v>142.4</v>
      </c>
      <c r="R143">
        <v>140.4</v>
      </c>
      <c r="S143">
        <v>135.19999999999999</v>
      </c>
      <c r="T143">
        <v>139.69999999999999</v>
      </c>
      <c r="U143" t="s">
        <v>32</v>
      </c>
      <c r="V143">
        <v>132</v>
      </c>
      <c r="W143">
        <v>132.9</v>
      </c>
      <c r="X143">
        <v>129.69999999999999</v>
      </c>
      <c r="Y143">
        <v>118.6</v>
      </c>
      <c r="Z143">
        <v>127.3</v>
      </c>
      <c r="AA143">
        <v>134.19999999999999</v>
      </c>
      <c r="AB143">
        <v>121.9</v>
      </c>
      <c r="AC143">
        <v>126.3</v>
      </c>
      <c r="AD143">
        <v>132.80000000000001</v>
      </c>
    </row>
    <row r="144" spans="1:30" x14ac:dyDescent="0.25">
      <c r="A144" t="s">
        <v>33</v>
      </c>
      <c r="B144">
        <v>2016</v>
      </c>
      <c r="C144" t="s">
        <v>46</v>
      </c>
      <c r="D144">
        <v>131.6</v>
      </c>
      <c r="E144">
        <v>138.19999999999999</v>
      </c>
      <c r="F144">
        <v>134.9</v>
      </c>
      <c r="G144">
        <v>133.1</v>
      </c>
      <c r="H144">
        <v>113.5</v>
      </c>
      <c r="I144">
        <v>129.30000000000001</v>
      </c>
      <c r="J144">
        <v>121.1</v>
      </c>
      <c r="K144">
        <v>170.3</v>
      </c>
      <c r="L144">
        <v>115.5</v>
      </c>
      <c r="M144">
        <v>145.5</v>
      </c>
      <c r="N144">
        <v>123.1</v>
      </c>
      <c r="O144">
        <v>140.9</v>
      </c>
      <c r="P144">
        <v>132.80000000000001</v>
      </c>
      <c r="Q144">
        <v>145</v>
      </c>
      <c r="R144">
        <v>130</v>
      </c>
      <c r="S144">
        <v>122.2</v>
      </c>
      <c r="T144">
        <v>128.80000000000001</v>
      </c>
      <c r="U144">
        <v>128.5</v>
      </c>
      <c r="V144">
        <v>117.8</v>
      </c>
      <c r="W144">
        <v>125</v>
      </c>
      <c r="X144">
        <v>122.3</v>
      </c>
      <c r="Y144">
        <v>113.7</v>
      </c>
      <c r="Z144">
        <v>121.8</v>
      </c>
      <c r="AA144">
        <v>132.30000000000001</v>
      </c>
      <c r="AB144">
        <v>119.9</v>
      </c>
      <c r="AC144">
        <v>121.4</v>
      </c>
      <c r="AD144">
        <v>127.6</v>
      </c>
    </row>
    <row r="145" spans="1:30" x14ac:dyDescent="0.25">
      <c r="A145" t="s">
        <v>34</v>
      </c>
      <c r="B145">
        <v>2016</v>
      </c>
      <c r="C145" t="s">
        <v>46</v>
      </c>
      <c r="D145">
        <v>132.30000000000001</v>
      </c>
      <c r="E145">
        <v>137.6</v>
      </c>
      <c r="F145">
        <v>132.9</v>
      </c>
      <c r="G145">
        <v>135.1</v>
      </c>
      <c r="H145">
        <v>118.6</v>
      </c>
      <c r="I145">
        <v>132.69999999999999</v>
      </c>
      <c r="J145">
        <v>125.3</v>
      </c>
      <c r="K145">
        <v>168.7</v>
      </c>
      <c r="L145">
        <v>114.4</v>
      </c>
      <c r="M145">
        <v>140.19999999999999</v>
      </c>
      <c r="N145">
        <v>126.6</v>
      </c>
      <c r="O145">
        <v>142.30000000000001</v>
      </c>
      <c r="P145">
        <v>134</v>
      </c>
      <c r="Q145">
        <v>143.1</v>
      </c>
      <c r="R145">
        <v>136.30000000000001</v>
      </c>
      <c r="S145">
        <v>129.80000000000001</v>
      </c>
      <c r="T145">
        <v>135.4</v>
      </c>
      <c r="U145">
        <v>128.5</v>
      </c>
      <c r="V145">
        <v>126.6</v>
      </c>
      <c r="W145">
        <v>129.19999999999999</v>
      </c>
      <c r="X145">
        <v>126.9</v>
      </c>
      <c r="Y145">
        <v>116</v>
      </c>
      <c r="Z145">
        <v>124.2</v>
      </c>
      <c r="AA145">
        <v>133.1</v>
      </c>
      <c r="AB145">
        <v>121.1</v>
      </c>
      <c r="AC145">
        <v>123.9</v>
      </c>
      <c r="AD145">
        <v>130.4</v>
      </c>
    </row>
    <row r="146" spans="1:30" x14ac:dyDescent="0.25">
      <c r="A146" t="s">
        <v>30</v>
      </c>
      <c r="B146">
        <v>2017</v>
      </c>
      <c r="C146" t="s">
        <v>31</v>
      </c>
      <c r="D146">
        <v>133.1</v>
      </c>
      <c r="E146">
        <v>137.80000000000001</v>
      </c>
      <c r="F146">
        <v>131.9</v>
      </c>
      <c r="G146">
        <v>136.69999999999999</v>
      </c>
      <c r="H146">
        <v>122</v>
      </c>
      <c r="I146">
        <v>136</v>
      </c>
      <c r="J146">
        <v>119.8</v>
      </c>
      <c r="K146">
        <v>161.69999999999999</v>
      </c>
      <c r="L146">
        <v>114.8</v>
      </c>
      <c r="M146">
        <v>136.9</v>
      </c>
      <c r="N146">
        <v>129</v>
      </c>
      <c r="O146">
        <v>143.9</v>
      </c>
      <c r="P146">
        <v>133.69999999999999</v>
      </c>
      <c r="Q146">
        <v>143.1</v>
      </c>
      <c r="R146">
        <v>140.69999999999999</v>
      </c>
      <c r="S146">
        <v>135.80000000000001</v>
      </c>
      <c r="T146">
        <v>140</v>
      </c>
      <c r="U146" t="s">
        <v>32</v>
      </c>
      <c r="V146">
        <v>132.1</v>
      </c>
      <c r="W146">
        <v>133.19999999999999</v>
      </c>
      <c r="X146">
        <v>129.9</v>
      </c>
      <c r="Y146">
        <v>119.1</v>
      </c>
      <c r="Z146">
        <v>127</v>
      </c>
      <c r="AA146">
        <v>134.6</v>
      </c>
      <c r="AB146">
        <v>122.3</v>
      </c>
      <c r="AC146">
        <v>126.6</v>
      </c>
      <c r="AD146">
        <v>132.4</v>
      </c>
    </row>
    <row r="147" spans="1:30" x14ac:dyDescent="0.25">
      <c r="A147" t="s">
        <v>33</v>
      </c>
      <c r="B147">
        <v>2017</v>
      </c>
      <c r="C147" t="s">
        <v>31</v>
      </c>
      <c r="D147">
        <v>132.19999999999999</v>
      </c>
      <c r="E147">
        <v>138.9</v>
      </c>
      <c r="F147">
        <v>132.6</v>
      </c>
      <c r="G147">
        <v>133.1</v>
      </c>
      <c r="H147">
        <v>114</v>
      </c>
      <c r="I147">
        <v>129.6</v>
      </c>
      <c r="J147">
        <v>118.7</v>
      </c>
      <c r="K147">
        <v>155.1</v>
      </c>
      <c r="L147">
        <v>117.3</v>
      </c>
      <c r="M147">
        <v>144.9</v>
      </c>
      <c r="N147">
        <v>123.2</v>
      </c>
      <c r="O147">
        <v>141.6</v>
      </c>
      <c r="P147">
        <v>132</v>
      </c>
      <c r="Q147">
        <v>145.6</v>
      </c>
      <c r="R147">
        <v>130.19999999999999</v>
      </c>
      <c r="S147">
        <v>122.3</v>
      </c>
      <c r="T147">
        <v>129</v>
      </c>
      <c r="U147">
        <v>129.6</v>
      </c>
      <c r="V147">
        <v>118</v>
      </c>
      <c r="W147">
        <v>125.1</v>
      </c>
      <c r="X147">
        <v>122.6</v>
      </c>
      <c r="Y147">
        <v>115.2</v>
      </c>
      <c r="Z147">
        <v>122</v>
      </c>
      <c r="AA147">
        <v>132.4</v>
      </c>
      <c r="AB147">
        <v>120.9</v>
      </c>
      <c r="AC147">
        <v>122.1</v>
      </c>
      <c r="AD147">
        <v>127.8</v>
      </c>
    </row>
    <row r="148" spans="1:30" x14ac:dyDescent="0.25">
      <c r="A148" t="s">
        <v>34</v>
      </c>
      <c r="B148">
        <v>2017</v>
      </c>
      <c r="C148" t="s">
        <v>31</v>
      </c>
      <c r="D148">
        <v>132.80000000000001</v>
      </c>
      <c r="E148">
        <v>138.19999999999999</v>
      </c>
      <c r="F148">
        <v>132.19999999999999</v>
      </c>
      <c r="G148">
        <v>135.4</v>
      </c>
      <c r="H148">
        <v>119.1</v>
      </c>
      <c r="I148">
        <v>133</v>
      </c>
      <c r="J148">
        <v>119.4</v>
      </c>
      <c r="K148">
        <v>159.5</v>
      </c>
      <c r="L148">
        <v>115.6</v>
      </c>
      <c r="M148">
        <v>139.6</v>
      </c>
      <c r="N148">
        <v>126.6</v>
      </c>
      <c r="O148">
        <v>142.80000000000001</v>
      </c>
      <c r="P148">
        <v>133.1</v>
      </c>
      <c r="Q148">
        <v>143.80000000000001</v>
      </c>
      <c r="R148">
        <v>136.6</v>
      </c>
      <c r="S148">
        <v>130.19999999999999</v>
      </c>
      <c r="T148">
        <v>135.6</v>
      </c>
      <c r="U148">
        <v>129.6</v>
      </c>
      <c r="V148">
        <v>126.8</v>
      </c>
      <c r="W148">
        <v>129.4</v>
      </c>
      <c r="X148">
        <v>127.1</v>
      </c>
      <c r="Y148">
        <v>117</v>
      </c>
      <c r="Z148">
        <v>124.2</v>
      </c>
      <c r="AA148">
        <v>133.30000000000001</v>
      </c>
      <c r="AB148">
        <v>121.7</v>
      </c>
      <c r="AC148">
        <v>124.4</v>
      </c>
      <c r="AD148">
        <v>130.30000000000001</v>
      </c>
    </row>
    <row r="149" spans="1:30" x14ac:dyDescent="0.25">
      <c r="A149" t="s">
        <v>30</v>
      </c>
      <c r="B149">
        <v>2017</v>
      </c>
      <c r="C149" t="s">
        <v>35</v>
      </c>
      <c r="D149">
        <v>133.30000000000001</v>
      </c>
      <c r="E149">
        <v>138.30000000000001</v>
      </c>
      <c r="F149">
        <v>129.30000000000001</v>
      </c>
      <c r="G149">
        <v>137.19999999999999</v>
      </c>
      <c r="H149">
        <v>122.1</v>
      </c>
      <c r="I149">
        <v>138.69999999999999</v>
      </c>
      <c r="J149">
        <v>119.1</v>
      </c>
      <c r="K149">
        <v>156.9</v>
      </c>
      <c r="L149">
        <v>116.2</v>
      </c>
      <c r="M149">
        <v>136</v>
      </c>
      <c r="N149">
        <v>129.4</v>
      </c>
      <c r="O149">
        <v>144.4</v>
      </c>
      <c r="P149">
        <v>133.6</v>
      </c>
      <c r="Q149">
        <v>143.69999999999999</v>
      </c>
      <c r="R149">
        <v>140.9</v>
      </c>
      <c r="S149">
        <v>135.80000000000001</v>
      </c>
      <c r="T149">
        <v>140.19999999999999</v>
      </c>
      <c r="U149" t="s">
        <v>32</v>
      </c>
      <c r="V149">
        <v>133.19999999999999</v>
      </c>
      <c r="W149">
        <v>133.6</v>
      </c>
      <c r="X149">
        <v>130.1</v>
      </c>
      <c r="Y149">
        <v>119.5</v>
      </c>
      <c r="Z149">
        <v>127.7</v>
      </c>
      <c r="AA149">
        <v>134.9</v>
      </c>
      <c r="AB149">
        <v>123.2</v>
      </c>
      <c r="AC149">
        <v>127</v>
      </c>
      <c r="AD149">
        <v>132.6</v>
      </c>
    </row>
    <row r="150" spans="1:30" x14ac:dyDescent="0.25">
      <c r="A150" t="s">
        <v>33</v>
      </c>
      <c r="B150">
        <v>2017</v>
      </c>
      <c r="C150" t="s">
        <v>35</v>
      </c>
      <c r="D150">
        <v>132.80000000000001</v>
      </c>
      <c r="E150">
        <v>139.80000000000001</v>
      </c>
      <c r="F150">
        <v>129.30000000000001</v>
      </c>
      <c r="G150">
        <v>133.5</v>
      </c>
      <c r="H150">
        <v>114.3</v>
      </c>
      <c r="I150">
        <v>131.4</v>
      </c>
      <c r="J150">
        <v>120.2</v>
      </c>
      <c r="K150">
        <v>143.1</v>
      </c>
      <c r="L150">
        <v>119.5</v>
      </c>
      <c r="M150">
        <v>144</v>
      </c>
      <c r="N150">
        <v>123.4</v>
      </c>
      <c r="O150">
        <v>141.9</v>
      </c>
      <c r="P150">
        <v>132.1</v>
      </c>
      <c r="Q150">
        <v>146.30000000000001</v>
      </c>
      <c r="R150">
        <v>130.5</v>
      </c>
      <c r="S150">
        <v>122.5</v>
      </c>
      <c r="T150">
        <v>129.30000000000001</v>
      </c>
      <c r="U150">
        <v>130.5</v>
      </c>
      <c r="V150">
        <v>119.2</v>
      </c>
      <c r="W150">
        <v>125.3</v>
      </c>
      <c r="X150">
        <v>122.9</v>
      </c>
      <c r="Y150">
        <v>115.5</v>
      </c>
      <c r="Z150">
        <v>122.2</v>
      </c>
      <c r="AA150">
        <v>132.4</v>
      </c>
      <c r="AB150">
        <v>121.7</v>
      </c>
      <c r="AC150">
        <v>122.4</v>
      </c>
      <c r="AD150">
        <v>128.19999999999999</v>
      </c>
    </row>
    <row r="151" spans="1:30" x14ac:dyDescent="0.25">
      <c r="A151" t="s">
        <v>34</v>
      </c>
      <c r="B151">
        <v>2017</v>
      </c>
      <c r="C151" t="s">
        <v>35</v>
      </c>
      <c r="D151">
        <v>133.1</v>
      </c>
      <c r="E151">
        <v>138.80000000000001</v>
      </c>
      <c r="F151">
        <v>129.30000000000001</v>
      </c>
      <c r="G151">
        <v>135.80000000000001</v>
      </c>
      <c r="H151">
        <v>119.2</v>
      </c>
      <c r="I151">
        <v>135.30000000000001</v>
      </c>
      <c r="J151">
        <v>119.5</v>
      </c>
      <c r="K151">
        <v>152.19999999999999</v>
      </c>
      <c r="L151">
        <v>117.3</v>
      </c>
      <c r="M151">
        <v>138.69999999999999</v>
      </c>
      <c r="N151">
        <v>126.9</v>
      </c>
      <c r="O151">
        <v>143.19999999999999</v>
      </c>
      <c r="P151">
        <v>133</v>
      </c>
      <c r="Q151">
        <v>144.4</v>
      </c>
      <c r="R151">
        <v>136.80000000000001</v>
      </c>
      <c r="S151">
        <v>130.30000000000001</v>
      </c>
      <c r="T151">
        <v>135.9</v>
      </c>
      <c r="U151">
        <v>130.5</v>
      </c>
      <c r="V151">
        <v>127.9</v>
      </c>
      <c r="W151">
        <v>129.69999999999999</v>
      </c>
      <c r="X151">
        <v>127.4</v>
      </c>
      <c r="Y151">
        <v>117.4</v>
      </c>
      <c r="Z151">
        <v>124.6</v>
      </c>
      <c r="AA151">
        <v>133.4</v>
      </c>
      <c r="AB151">
        <v>122.6</v>
      </c>
      <c r="AC151">
        <v>124.8</v>
      </c>
      <c r="AD151">
        <v>130.6</v>
      </c>
    </row>
    <row r="152" spans="1:30" x14ac:dyDescent="0.25">
      <c r="A152" t="s">
        <v>30</v>
      </c>
      <c r="B152">
        <v>2017</v>
      </c>
      <c r="C152" t="s">
        <v>36</v>
      </c>
      <c r="D152">
        <v>133.6</v>
      </c>
      <c r="E152">
        <v>138.80000000000001</v>
      </c>
      <c r="F152">
        <v>128.80000000000001</v>
      </c>
      <c r="G152">
        <v>137.19999999999999</v>
      </c>
      <c r="H152">
        <v>121.6</v>
      </c>
      <c r="I152">
        <v>139.69999999999999</v>
      </c>
      <c r="J152">
        <v>119.7</v>
      </c>
      <c r="K152">
        <v>148</v>
      </c>
      <c r="L152">
        <v>116.9</v>
      </c>
      <c r="M152">
        <v>135.6</v>
      </c>
      <c r="N152">
        <v>129.80000000000001</v>
      </c>
      <c r="O152">
        <v>145.4</v>
      </c>
      <c r="P152">
        <v>133.4</v>
      </c>
      <c r="Q152">
        <v>144.19999999999999</v>
      </c>
      <c r="R152">
        <v>141.6</v>
      </c>
      <c r="S152">
        <v>136.19999999999999</v>
      </c>
      <c r="T152">
        <v>140.80000000000001</v>
      </c>
      <c r="U152" t="s">
        <v>32</v>
      </c>
      <c r="V152">
        <v>134.19999999999999</v>
      </c>
      <c r="W152">
        <v>134.1</v>
      </c>
      <c r="X152">
        <v>130.6</v>
      </c>
      <c r="Y152">
        <v>119.8</v>
      </c>
      <c r="Z152">
        <v>128.30000000000001</v>
      </c>
      <c r="AA152">
        <v>135.19999999999999</v>
      </c>
      <c r="AB152">
        <v>123.3</v>
      </c>
      <c r="AC152">
        <v>127.4</v>
      </c>
      <c r="AD152">
        <v>132.80000000000001</v>
      </c>
    </row>
    <row r="153" spans="1:30" x14ac:dyDescent="0.25">
      <c r="A153" t="s">
        <v>33</v>
      </c>
      <c r="B153">
        <v>2017</v>
      </c>
      <c r="C153" t="s">
        <v>36</v>
      </c>
      <c r="D153">
        <v>132.69999999999999</v>
      </c>
      <c r="E153">
        <v>139.4</v>
      </c>
      <c r="F153">
        <v>128.4</v>
      </c>
      <c r="G153">
        <v>134.9</v>
      </c>
      <c r="H153">
        <v>114</v>
      </c>
      <c r="I153">
        <v>136.80000000000001</v>
      </c>
      <c r="J153">
        <v>122.2</v>
      </c>
      <c r="K153">
        <v>135.80000000000001</v>
      </c>
      <c r="L153">
        <v>120.3</v>
      </c>
      <c r="M153">
        <v>142.6</v>
      </c>
      <c r="N153">
        <v>123.6</v>
      </c>
      <c r="O153">
        <v>142.4</v>
      </c>
      <c r="P153">
        <v>132.6</v>
      </c>
      <c r="Q153">
        <v>147.5</v>
      </c>
      <c r="R153">
        <v>130.80000000000001</v>
      </c>
      <c r="S153">
        <v>122.8</v>
      </c>
      <c r="T153">
        <v>129.6</v>
      </c>
      <c r="U153">
        <v>131.1</v>
      </c>
      <c r="V153">
        <v>120.8</v>
      </c>
      <c r="W153">
        <v>125.6</v>
      </c>
      <c r="X153">
        <v>123.1</v>
      </c>
      <c r="Y153">
        <v>115.6</v>
      </c>
      <c r="Z153">
        <v>122.4</v>
      </c>
      <c r="AA153">
        <v>132.80000000000001</v>
      </c>
      <c r="AB153">
        <v>121.7</v>
      </c>
      <c r="AC153">
        <v>122.6</v>
      </c>
      <c r="AD153">
        <v>128.69999999999999</v>
      </c>
    </row>
    <row r="154" spans="1:30" x14ac:dyDescent="0.25">
      <c r="A154" t="s">
        <v>34</v>
      </c>
      <c r="B154">
        <v>2017</v>
      </c>
      <c r="C154" t="s">
        <v>36</v>
      </c>
      <c r="D154">
        <v>133.30000000000001</v>
      </c>
      <c r="E154">
        <v>139</v>
      </c>
      <c r="F154">
        <v>128.6</v>
      </c>
      <c r="G154">
        <v>136.30000000000001</v>
      </c>
      <c r="H154">
        <v>118.8</v>
      </c>
      <c r="I154">
        <v>138.30000000000001</v>
      </c>
      <c r="J154">
        <v>120.5</v>
      </c>
      <c r="K154">
        <v>143.9</v>
      </c>
      <c r="L154">
        <v>118</v>
      </c>
      <c r="M154">
        <v>137.9</v>
      </c>
      <c r="N154">
        <v>127.2</v>
      </c>
      <c r="O154">
        <v>144</v>
      </c>
      <c r="P154">
        <v>133.1</v>
      </c>
      <c r="Q154">
        <v>145.1</v>
      </c>
      <c r="R154">
        <v>137.30000000000001</v>
      </c>
      <c r="S154">
        <v>130.6</v>
      </c>
      <c r="T154">
        <v>136.4</v>
      </c>
      <c r="U154">
        <v>131.1</v>
      </c>
      <c r="V154">
        <v>129.1</v>
      </c>
      <c r="W154">
        <v>130.1</v>
      </c>
      <c r="X154">
        <v>127.8</v>
      </c>
      <c r="Y154">
        <v>117.6</v>
      </c>
      <c r="Z154">
        <v>125</v>
      </c>
      <c r="AA154">
        <v>133.80000000000001</v>
      </c>
      <c r="AB154">
        <v>122.6</v>
      </c>
      <c r="AC154">
        <v>125.1</v>
      </c>
      <c r="AD154">
        <v>130.9</v>
      </c>
    </row>
    <row r="155" spans="1:30" x14ac:dyDescent="0.25">
      <c r="A155" t="s">
        <v>30</v>
      </c>
      <c r="B155">
        <v>2017</v>
      </c>
      <c r="C155" t="s">
        <v>37</v>
      </c>
      <c r="D155">
        <v>133.19999999999999</v>
      </c>
      <c r="E155">
        <v>138.69999999999999</v>
      </c>
      <c r="F155">
        <v>127.1</v>
      </c>
      <c r="G155">
        <v>137.69999999999999</v>
      </c>
      <c r="H155">
        <v>121.3</v>
      </c>
      <c r="I155">
        <v>141.80000000000001</v>
      </c>
      <c r="J155">
        <v>121.5</v>
      </c>
      <c r="K155">
        <v>144.5</v>
      </c>
      <c r="L155">
        <v>117.4</v>
      </c>
      <c r="M155">
        <v>134.1</v>
      </c>
      <c r="N155">
        <v>130</v>
      </c>
      <c r="O155">
        <v>145.5</v>
      </c>
      <c r="P155">
        <v>133.5</v>
      </c>
      <c r="Q155">
        <v>144.4</v>
      </c>
      <c r="R155">
        <v>142.4</v>
      </c>
      <c r="S155">
        <v>136.80000000000001</v>
      </c>
      <c r="T155">
        <v>141.6</v>
      </c>
      <c r="U155" t="s">
        <v>32</v>
      </c>
      <c r="V155">
        <v>135</v>
      </c>
      <c r="W155">
        <v>134.30000000000001</v>
      </c>
      <c r="X155">
        <v>131</v>
      </c>
      <c r="Y155">
        <v>119.2</v>
      </c>
      <c r="Z155">
        <v>128.30000000000001</v>
      </c>
      <c r="AA155">
        <v>135.69999999999999</v>
      </c>
      <c r="AB155">
        <v>123.7</v>
      </c>
      <c r="AC155">
        <v>127.5</v>
      </c>
      <c r="AD155">
        <v>132.9</v>
      </c>
    </row>
    <row r="156" spans="1:30" x14ac:dyDescent="0.25">
      <c r="A156" t="s">
        <v>33</v>
      </c>
      <c r="B156">
        <v>2017</v>
      </c>
      <c r="C156" t="s">
        <v>37</v>
      </c>
      <c r="D156">
        <v>132.69999999999999</v>
      </c>
      <c r="E156">
        <v>140.6</v>
      </c>
      <c r="F156">
        <v>124.5</v>
      </c>
      <c r="G156">
        <v>136.30000000000001</v>
      </c>
      <c r="H156">
        <v>113.5</v>
      </c>
      <c r="I156">
        <v>137.69999999999999</v>
      </c>
      <c r="J156">
        <v>127.1</v>
      </c>
      <c r="K156">
        <v>133.80000000000001</v>
      </c>
      <c r="L156">
        <v>120.8</v>
      </c>
      <c r="M156">
        <v>141.30000000000001</v>
      </c>
      <c r="N156">
        <v>123.8</v>
      </c>
      <c r="O156">
        <v>142.6</v>
      </c>
      <c r="P156">
        <v>133.4</v>
      </c>
      <c r="Q156">
        <v>148</v>
      </c>
      <c r="R156">
        <v>131.19999999999999</v>
      </c>
      <c r="S156">
        <v>123</v>
      </c>
      <c r="T156">
        <v>130</v>
      </c>
      <c r="U156">
        <v>131.69999999999999</v>
      </c>
      <c r="V156">
        <v>121.4</v>
      </c>
      <c r="W156">
        <v>126</v>
      </c>
      <c r="X156">
        <v>123.4</v>
      </c>
      <c r="Y156">
        <v>114.3</v>
      </c>
      <c r="Z156">
        <v>122.6</v>
      </c>
      <c r="AA156">
        <v>133.6</v>
      </c>
      <c r="AB156">
        <v>122.2</v>
      </c>
      <c r="AC156">
        <v>122.5</v>
      </c>
      <c r="AD156">
        <v>129.1</v>
      </c>
    </row>
    <row r="157" spans="1:30" x14ac:dyDescent="0.25">
      <c r="A157" t="s">
        <v>34</v>
      </c>
      <c r="B157">
        <v>2017</v>
      </c>
      <c r="C157" t="s">
        <v>37</v>
      </c>
      <c r="D157">
        <v>133</v>
      </c>
      <c r="E157">
        <v>139.4</v>
      </c>
      <c r="F157">
        <v>126.1</v>
      </c>
      <c r="G157">
        <v>137.19999999999999</v>
      </c>
      <c r="H157">
        <v>118.4</v>
      </c>
      <c r="I157">
        <v>139.9</v>
      </c>
      <c r="J157">
        <v>123.4</v>
      </c>
      <c r="K157">
        <v>140.9</v>
      </c>
      <c r="L157">
        <v>118.5</v>
      </c>
      <c r="M157">
        <v>136.5</v>
      </c>
      <c r="N157">
        <v>127.4</v>
      </c>
      <c r="O157">
        <v>144.19999999999999</v>
      </c>
      <c r="P157">
        <v>133.5</v>
      </c>
      <c r="Q157">
        <v>145.4</v>
      </c>
      <c r="R157">
        <v>138</v>
      </c>
      <c r="S157">
        <v>131.1</v>
      </c>
      <c r="T157">
        <v>137</v>
      </c>
      <c r="U157">
        <v>131.69999999999999</v>
      </c>
      <c r="V157">
        <v>129.80000000000001</v>
      </c>
      <c r="W157">
        <v>130.4</v>
      </c>
      <c r="X157">
        <v>128.1</v>
      </c>
      <c r="Y157">
        <v>116.6</v>
      </c>
      <c r="Z157">
        <v>125.1</v>
      </c>
      <c r="AA157">
        <v>134.5</v>
      </c>
      <c r="AB157">
        <v>123.1</v>
      </c>
      <c r="AC157">
        <v>125.1</v>
      </c>
      <c r="AD157">
        <v>131.1</v>
      </c>
    </row>
    <row r="158" spans="1:30" x14ac:dyDescent="0.25">
      <c r="A158" t="s">
        <v>30</v>
      </c>
      <c r="B158">
        <v>2017</v>
      </c>
      <c r="C158" t="s">
        <v>38</v>
      </c>
      <c r="D158">
        <v>133.1</v>
      </c>
      <c r="E158">
        <v>140.30000000000001</v>
      </c>
      <c r="F158">
        <v>126.8</v>
      </c>
      <c r="G158">
        <v>138.19999999999999</v>
      </c>
      <c r="H158">
        <v>120.8</v>
      </c>
      <c r="I158">
        <v>140.19999999999999</v>
      </c>
      <c r="J158">
        <v>123.8</v>
      </c>
      <c r="K158">
        <v>141.80000000000001</v>
      </c>
      <c r="L158">
        <v>118.6</v>
      </c>
      <c r="M158">
        <v>134</v>
      </c>
      <c r="N158">
        <v>130.30000000000001</v>
      </c>
      <c r="O158">
        <v>145.80000000000001</v>
      </c>
      <c r="P158">
        <v>133.80000000000001</v>
      </c>
      <c r="Q158">
        <v>145.5</v>
      </c>
      <c r="R158">
        <v>142.5</v>
      </c>
      <c r="S158">
        <v>137.30000000000001</v>
      </c>
      <c r="T158">
        <v>141.80000000000001</v>
      </c>
      <c r="U158" t="s">
        <v>32</v>
      </c>
      <c r="V158">
        <v>135</v>
      </c>
      <c r="W158">
        <v>134.9</v>
      </c>
      <c r="X158">
        <v>131.4</v>
      </c>
      <c r="Y158">
        <v>119.4</v>
      </c>
      <c r="Z158">
        <v>129.4</v>
      </c>
      <c r="AA158">
        <v>136.30000000000001</v>
      </c>
      <c r="AB158">
        <v>123.7</v>
      </c>
      <c r="AC158">
        <v>127.9</v>
      </c>
      <c r="AD158">
        <v>133.30000000000001</v>
      </c>
    </row>
    <row r="159" spans="1:30" x14ac:dyDescent="0.25">
      <c r="A159" t="s">
        <v>33</v>
      </c>
      <c r="B159">
        <v>2017</v>
      </c>
      <c r="C159" t="s">
        <v>38</v>
      </c>
      <c r="D159">
        <v>132.6</v>
      </c>
      <c r="E159">
        <v>144.1</v>
      </c>
      <c r="F159">
        <v>125.6</v>
      </c>
      <c r="G159">
        <v>136.80000000000001</v>
      </c>
      <c r="H159">
        <v>113.4</v>
      </c>
      <c r="I159">
        <v>135.19999999999999</v>
      </c>
      <c r="J159">
        <v>129.19999999999999</v>
      </c>
      <c r="K159">
        <v>131.5</v>
      </c>
      <c r="L159">
        <v>121</v>
      </c>
      <c r="M159">
        <v>139.9</v>
      </c>
      <c r="N159">
        <v>123.8</v>
      </c>
      <c r="O159">
        <v>142.9</v>
      </c>
      <c r="P159">
        <v>133.6</v>
      </c>
      <c r="Q159">
        <v>148.30000000000001</v>
      </c>
      <c r="R159">
        <v>131.5</v>
      </c>
      <c r="S159">
        <v>123.2</v>
      </c>
      <c r="T159">
        <v>130.19999999999999</v>
      </c>
      <c r="U159">
        <v>132.1</v>
      </c>
      <c r="V159">
        <v>120.1</v>
      </c>
      <c r="W159">
        <v>126.5</v>
      </c>
      <c r="X159">
        <v>123.6</v>
      </c>
      <c r="Y159">
        <v>114.3</v>
      </c>
      <c r="Z159">
        <v>122.8</v>
      </c>
      <c r="AA159">
        <v>133.80000000000001</v>
      </c>
      <c r="AB159">
        <v>122</v>
      </c>
      <c r="AC159">
        <v>122.6</v>
      </c>
      <c r="AD159">
        <v>129.30000000000001</v>
      </c>
    </row>
    <row r="160" spans="1:30" x14ac:dyDescent="0.25">
      <c r="A160" t="s">
        <v>34</v>
      </c>
      <c r="B160">
        <v>2017</v>
      </c>
      <c r="C160" t="s">
        <v>38</v>
      </c>
      <c r="D160">
        <v>132.9</v>
      </c>
      <c r="E160">
        <v>141.6</v>
      </c>
      <c r="F160">
        <v>126.3</v>
      </c>
      <c r="G160">
        <v>137.69999999999999</v>
      </c>
      <c r="H160">
        <v>118.1</v>
      </c>
      <c r="I160">
        <v>137.9</v>
      </c>
      <c r="J160">
        <v>125.6</v>
      </c>
      <c r="K160">
        <v>138.30000000000001</v>
      </c>
      <c r="L160">
        <v>119.4</v>
      </c>
      <c r="M160">
        <v>136</v>
      </c>
      <c r="N160">
        <v>127.6</v>
      </c>
      <c r="O160">
        <v>144.5</v>
      </c>
      <c r="P160">
        <v>133.69999999999999</v>
      </c>
      <c r="Q160">
        <v>146.19999999999999</v>
      </c>
      <c r="R160">
        <v>138.19999999999999</v>
      </c>
      <c r="S160">
        <v>131.4</v>
      </c>
      <c r="T160">
        <v>137.19999999999999</v>
      </c>
      <c r="U160">
        <v>132.1</v>
      </c>
      <c r="V160">
        <v>129.4</v>
      </c>
      <c r="W160">
        <v>130.9</v>
      </c>
      <c r="X160">
        <v>128.4</v>
      </c>
      <c r="Y160">
        <v>116.7</v>
      </c>
      <c r="Z160">
        <v>125.7</v>
      </c>
      <c r="AA160">
        <v>134.80000000000001</v>
      </c>
      <c r="AB160">
        <v>123</v>
      </c>
      <c r="AC160">
        <v>125.3</v>
      </c>
      <c r="AD160">
        <v>131.4</v>
      </c>
    </row>
    <row r="161" spans="1:30" x14ac:dyDescent="0.25">
      <c r="A161" t="s">
        <v>30</v>
      </c>
      <c r="B161">
        <v>2017</v>
      </c>
      <c r="C161" t="s">
        <v>39</v>
      </c>
      <c r="D161">
        <v>133.5</v>
      </c>
      <c r="E161">
        <v>143.69999999999999</v>
      </c>
      <c r="F161">
        <v>128</v>
      </c>
      <c r="G161">
        <v>138.6</v>
      </c>
      <c r="H161">
        <v>120.9</v>
      </c>
      <c r="I161">
        <v>140.9</v>
      </c>
      <c r="J161">
        <v>128.80000000000001</v>
      </c>
      <c r="K161">
        <v>140.19999999999999</v>
      </c>
      <c r="L161">
        <v>118.9</v>
      </c>
      <c r="M161">
        <v>133.5</v>
      </c>
      <c r="N161">
        <v>130.4</v>
      </c>
      <c r="O161">
        <v>146.5</v>
      </c>
      <c r="P161">
        <v>134.9</v>
      </c>
      <c r="Q161">
        <v>145.80000000000001</v>
      </c>
      <c r="R161">
        <v>143.1</v>
      </c>
      <c r="S161">
        <v>137.69999999999999</v>
      </c>
      <c r="T161">
        <v>142.30000000000001</v>
      </c>
      <c r="U161" t="s">
        <v>32</v>
      </c>
      <c r="V161">
        <v>134.80000000000001</v>
      </c>
      <c r="W161">
        <v>135.19999999999999</v>
      </c>
      <c r="X161">
        <v>131.30000000000001</v>
      </c>
      <c r="Y161">
        <v>119.4</v>
      </c>
      <c r="Z161">
        <v>129.80000000000001</v>
      </c>
      <c r="AA161">
        <v>136.9</v>
      </c>
      <c r="AB161">
        <v>124.1</v>
      </c>
      <c r="AC161">
        <v>128.1</v>
      </c>
      <c r="AD161">
        <v>133.9</v>
      </c>
    </row>
    <row r="162" spans="1:30" x14ac:dyDescent="0.25">
      <c r="A162" t="s">
        <v>33</v>
      </c>
      <c r="B162">
        <v>2017</v>
      </c>
      <c r="C162" t="s">
        <v>39</v>
      </c>
      <c r="D162">
        <v>132.9</v>
      </c>
      <c r="E162">
        <v>148.69999999999999</v>
      </c>
      <c r="F162">
        <v>128.30000000000001</v>
      </c>
      <c r="G162">
        <v>137.30000000000001</v>
      </c>
      <c r="H162">
        <v>113.5</v>
      </c>
      <c r="I162">
        <v>137.19999999999999</v>
      </c>
      <c r="J162">
        <v>142.19999999999999</v>
      </c>
      <c r="K162">
        <v>128.19999999999999</v>
      </c>
      <c r="L162">
        <v>120.9</v>
      </c>
      <c r="M162">
        <v>138.80000000000001</v>
      </c>
      <c r="N162">
        <v>124.2</v>
      </c>
      <c r="O162">
        <v>143.1</v>
      </c>
      <c r="P162">
        <v>135.69999999999999</v>
      </c>
      <c r="Q162">
        <v>148.6</v>
      </c>
      <c r="R162">
        <v>131.5</v>
      </c>
      <c r="S162">
        <v>123.2</v>
      </c>
      <c r="T162">
        <v>130.19999999999999</v>
      </c>
      <c r="U162">
        <v>131.4</v>
      </c>
      <c r="V162">
        <v>119</v>
      </c>
      <c r="W162">
        <v>126.8</v>
      </c>
      <c r="X162">
        <v>123.8</v>
      </c>
      <c r="Y162">
        <v>113.9</v>
      </c>
      <c r="Z162">
        <v>122.9</v>
      </c>
      <c r="AA162">
        <v>134.30000000000001</v>
      </c>
      <c r="AB162">
        <v>122.5</v>
      </c>
      <c r="AC162">
        <v>122.7</v>
      </c>
      <c r="AD162">
        <v>129.9</v>
      </c>
    </row>
    <row r="163" spans="1:30" x14ac:dyDescent="0.25">
      <c r="A163" t="s">
        <v>34</v>
      </c>
      <c r="B163">
        <v>2017</v>
      </c>
      <c r="C163" t="s">
        <v>39</v>
      </c>
      <c r="D163">
        <v>133.30000000000001</v>
      </c>
      <c r="E163">
        <v>145.5</v>
      </c>
      <c r="F163">
        <v>128.1</v>
      </c>
      <c r="G163">
        <v>138.1</v>
      </c>
      <c r="H163">
        <v>118.2</v>
      </c>
      <c r="I163">
        <v>139.19999999999999</v>
      </c>
      <c r="J163">
        <v>133.30000000000001</v>
      </c>
      <c r="K163">
        <v>136.19999999999999</v>
      </c>
      <c r="L163">
        <v>119.6</v>
      </c>
      <c r="M163">
        <v>135.30000000000001</v>
      </c>
      <c r="N163">
        <v>127.8</v>
      </c>
      <c r="O163">
        <v>144.9</v>
      </c>
      <c r="P163">
        <v>135.19999999999999</v>
      </c>
      <c r="Q163">
        <v>146.5</v>
      </c>
      <c r="R163">
        <v>138.5</v>
      </c>
      <c r="S163">
        <v>131.69999999999999</v>
      </c>
      <c r="T163">
        <v>137.5</v>
      </c>
      <c r="U163">
        <v>131.4</v>
      </c>
      <c r="V163">
        <v>128.80000000000001</v>
      </c>
      <c r="W163">
        <v>131.19999999999999</v>
      </c>
      <c r="X163">
        <v>128.5</v>
      </c>
      <c r="Y163">
        <v>116.5</v>
      </c>
      <c r="Z163">
        <v>125.9</v>
      </c>
      <c r="AA163">
        <v>135.4</v>
      </c>
      <c r="AB163">
        <v>123.4</v>
      </c>
      <c r="AC163">
        <v>125.5</v>
      </c>
      <c r="AD163">
        <v>132</v>
      </c>
    </row>
    <row r="164" spans="1:30" x14ac:dyDescent="0.25">
      <c r="A164" t="s">
        <v>30</v>
      </c>
      <c r="B164">
        <v>2017</v>
      </c>
      <c r="C164" t="s">
        <v>40</v>
      </c>
      <c r="D164">
        <v>134</v>
      </c>
      <c r="E164">
        <v>144.19999999999999</v>
      </c>
      <c r="F164">
        <v>129.80000000000001</v>
      </c>
      <c r="G164">
        <v>139</v>
      </c>
      <c r="H164">
        <v>120.9</v>
      </c>
      <c r="I164">
        <v>143.9</v>
      </c>
      <c r="J164">
        <v>151.5</v>
      </c>
      <c r="K164">
        <v>138.1</v>
      </c>
      <c r="L164">
        <v>120</v>
      </c>
      <c r="M164">
        <v>133.9</v>
      </c>
      <c r="N164">
        <v>131.4</v>
      </c>
      <c r="O164">
        <v>147.69999999999999</v>
      </c>
      <c r="P164">
        <v>138.5</v>
      </c>
      <c r="Q164">
        <v>147.4</v>
      </c>
      <c r="R164">
        <v>144.30000000000001</v>
      </c>
      <c r="S164">
        <v>138.1</v>
      </c>
      <c r="T164">
        <v>143.5</v>
      </c>
      <c r="U164" t="s">
        <v>32</v>
      </c>
      <c r="V164">
        <v>135.30000000000001</v>
      </c>
      <c r="W164">
        <v>136.1</v>
      </c>
      <c r="X164">
        <v>132.1</v>
      </c>
      <c r="Y164">
        <v>119.1</v>
      </c>
      <c r="Z164">
        <v>130.6</v>
      </c>
      <c r="AA164">
        <v>138.6</v>
      </c>
      <c r="AB164">
        <v>124.4</v>
      </c>
      <c r="AC164">
        <v>128.6</v>
      </c>
      <c r="AD164">
        <v>136.19999999999999</v>
      </c>
    </row>
    <row r="165" spans="1:30" x14ac:dyDescent="0.25">
      <c r="A165" t="s">
        <v>33</v>
      </c>
      <c r="B165">
        <v>2017</v>
      </c>
      <c r="C165" t="s">
        <v>40</v>
      </c>
      <c r="D165">
        <v>132.80000000000001</v>
      </c>
      <c r="E165">
        <v>148.4</v>
      </c>
      <c r="F165">
        <v>129.4</v>
      </c>
      <c r="G165">
        <v>137.69999999999999</v>
      </c>
      <c r="H165">
        <v>113.4</v>
      </c>
      <c r="I165">
        <v>139.4</v>
      </c>
      <c r="J165">
        <v>175.1</v>
      </c>
      <c r="K165">
        <v>124.7</v>
      </c>
      <c r="L165">
        <v>121.5</v>
      </c>
      <c r="M165">
        <v>137.80000000000001</v>
      </c>
      <c r="N165">
        <v>124.4</v>
      </c>
      <c r="O165">
        <v>143.69999999999999</v>
      </c>
      <c r="P165">
        <v>139.80000000000001</v>
      </c>
      <c r="Q165">
        <v>150.5</v>
      </c>
      <c r="R165">
        <v>131.6</v>
      </c>
      <c r="S165">
        <v>123.7</v>
      </c>
      <c r="T165">
        <v>130.4</v>
      </c>
      <c r="U165">
        <v>132.6</v>
      </c>
      <c r="V165">
        <v>119.7</v>
      </c>
      <c r="W165">
        <v>127.2</v>
      </c>
      <c r="X165">
        <v>125</v>
      </c>
      <c r="Y165">
        <v>113.2</v>
      </c>
      <c r="Z165">
        <v>123.5</v>
      </c>
      <c r="AA165">
        <v>135.5</v>
      </c>
      <c r="AB165">
        <v>122.4</v>
      </c>
      <c r="AC165">
        <v>123</v>
      </c>
      <c r="AD165">
        <v>131.80000000000001</v>
      </c>
    </row>
    <row r="166" spans="1:30" x14ac:dyDescent="0.25">
      <c r="A166" t="s">
        <v>34</v>
      </c>
      <c r="B166">
        <v>2017</v>
      </c>
      <c r="C166" t="s">
        <v>40</v>
      </c>
      <c r="D166">
        <v>133.6</v>
      </c>
      <c r="E166">
        <v>145.69999999999999</v>
      </c>
      <c r="F166">
        <v>129.6</v>
      </c>
      <c r="G166">
        <v>138.5</v>
      </c>
      <c r="H166">
        <v>118.1</v>
      </c>
      <c r="I166">
        <v>141.80000000000001</v>
      </c>
      <c r="J166">
        <v>159.5</v>
      </c>
      <c r="K166">
        <v>133.6</v>
      </c>
      <c r="L166">
        <v>120.5</v>
      </c>
      <c r="M166">
        <v>135.19999999999999</v>
      </c>
      <c r="N166">
        <v>128.5</v>
      </c>
      <c r="O166">
        <v>145.80000000000001</v>
      </c>
      <c r="P166">
        <v>139</v>
      </c>
      <c r="Q166">
        <v>148.19999999999999</v>
      </c>
      <c r="R166">
        <v>139.30000000000001</v>
      </c>
      <c r="S166">
        <v>132.1</v>
      </c>
      <c r="T166">
        <v>138.30000000000001</v>
      </c>
      <c r="U166">
        <v>132.6</v>
      </c>
      <c r="V166">
        <v>129.4</v>
      </c>
      <c r="W166">
        <v>131.9</v>
      </c>
      <c r="X166">
        <v>129.4</v>
      </c>
      <c r="Y166">
        <v>116</v>
      </c>
      <c r="Z166">
        <v>126.6</v>
      </c>
      <c r="AA166">
        <v>136.80000000000001</v>
      </c>
      <c r="AB166">
        <v>123.6</v>
      </c>
      <c r="AC166">
        <v>125.9</v>
      </c>
      <c r="AD166">
        <v>134.19999999999999</v>
      </c>
    </row>
    <row r="167" spans="1:30" x14ac:dyDescent="0.25">
      <c r="A167" t="s">
        <v>30</v>
      </c>
      <c r="B167">
        <v>2017</v>
      </c>
      <c r="C167" t="s">
        <v>41</v>
      </c>
      <c r="D167">
        <v>134.80000000000001</v>
      </c>
      <c r="E167">
        <v>143.1</v>
      </c>
      <c r="F167">
        <v>130</v>
      </c>
      <c r="G167">
        <v>139.4</v>
      </c>
      <c r="H167">
        <v>120.5</v>
      </c>
      <c r="I167">
        <v>148</v>
      </c>
      <c r="J167">
        <v>162.9</v>
      </c>
      <c r="K167">
        <v>137.4</v>
      </c>
      <c r="L167">
        <v>120.8</v>
      </c>
      <c r="M167">
        <v>134.69999999999999</v>
      </c>
      <c r="N167">
        <v>131.6</v>
      </c>
      <c r="O167">
        <v>148.69999999999999</v>
      </c>
      <c r="P167">
        <v>140.6</v>
      </c>
      <c r="Q167">
        <v>149</v>
      </c>
      <c r="R167">
        <v>145.30000000000001</v>
      </c>
      <c r="S167">
        <v>139.19999999999999</v>
      </c>
      <c r="T167">
        <v>144.5</v>
      </c>
      <c r="U167" t="s">
        <v>32</v>
      </c>
      <c r="V167">
        <v>136.4</v>
      </c>
      <c r="W167">
        <v>137.30000000000001</v>
      </c>
      <c r="X167">
        <v>133</v>
      </c>
      <c r="Y167">
        <v>120.3</v>
      </c>
      <c r="Z167">
        <v>131.5</v>
      </c>
      <c r="AA167">
        <v>140.19999999999999</v>
      </c>
      <c r="AB167">
        <v>125.4</v>
      </c>
      <c r="AC167">
        <v>129.69999999999999</v>
      </c>
      <c r="AD167">
        <v>137.80000000000001</v>
      </c>
    </row>
    <row r="168" spans="1:30" x14ac:dyDescent="0.25">
      <c r="A168" t="s">
        <v>33</v>
      </c>
      <c r="B168">
        <v>2017</v>
      </c>
      <c r="C168" t="s">
        <v>41</v>
      </c>
      <c r="D168">
        <v>133.19999999999999</v>
      </c>
      <c r="E168">
        <v>143.9</v>
      </c>
      <c r="F168">
        <v>128.30000000000001</v>
      </c>
      <c r="G168">
        <v>138.30000000000001</v>
      </c>
      <c r="H168">
        <v>114.1</v>
      </c>
      <c r="I168">
        <v>142.69999999999999</v>
      </c>
      <c r="J168">
        <v>179.8</v>
      </c>
      <c r="K168">
        <v>123.5</v>
      </c>
      <c r="L168">
        <v>122.1</v>
      </c>
      <c r="M168">
        <v>137.5</v>
      </c>
      <c r="N168">
        <v>124.6</v>
      </c>
      <c r="O168">
        <v>144.5</v>
      </c>
      <c r="P168">
        <v>140.5</v>
      </c>
      <c r="Q168">
        <v>152.1</v>
      </c>
      <c r="R168">
        <v>132.69999999999999</v>
      </c>
      <c r="S168">
        <v>124.3</v>
      </c>
      <c r="T168">
        <v>131.4</v>
      </c>
      <c r="U168">
        <v>134.4</v>
      </c>
      <c r="V168">
        <v>118.9</v>
      </c>
      <c r="W168">
        <v>127.7</v>
      </c>
      <c r="X168">
        <v>125.7</v>
      </c>
      <c r="Y168">
        <v>114.6</v>
      </c>
      <c r="Z168">
        <v>124.1</v>
      </c>
      <c r="AA168">
        <v>135.69999999999999</v>
      </c>
      <c r="AB168">
        <v>123.3</v>
      </c>
      <c r="AC168">
        <v>123.8</v>
      </c>
      <c r="AD168">
        <v>132.69999999999999</v>
      </c>
    </row>
    <row r="169" spans="1:30" x14ac:dyDescent="0.25">
      <c r="A169" t="s">
        <v>34</v>
      </c>
      <c r="B169">
        <v>2017</v>
      </c>
      <c r="C169" t="s">
        <v>41</v>
      </c>
      <c r="D169">
        <v>134.30000000000001</v>
      </c>
      <c r="E169">
        <v>143.4</v>
      </c>
      <c r="F169">
        <v>129.30000000000001</v>
      </c>
      <c r="G169">
        <v>139</v>
      </c>
      <c r="H169">
        <v>118.1</v>
      </c>
      <c r="I169">
        <v>145.5</v>
      </c>
      <c r="J169">
        <v>168.6</v>
      </c>
      <c r="K169">
        <v>132.69999999999999</v>
      </c>
      <c r="L169">
        <v>121.2</v>
      </c>
      <c r="M169">
        <v>135.6</v>
      </c>
      <c r="N169">
        <v>128.69999999999999</v>
      </c>
      <c r="O169">
        <v>146.80000000000001</v>
      </c>
      <c r="P169">
        <v>140.6</v>
      </c>
      <c r="Q169">
        <v>149.80000000000001</v>
      </c>
      <c r="R169">
        <v>140.30000000000001</v>
      </c>
      <c r="S169">
        <v>133</v>
      </c>
      <c r="T169">
        <v>139.30000000000001</v>
      </c>
      <c r="U169">
        <v>134.4</v>
      </c>
      <c r="V169">
        <v>129.80000000000001</v>
      </c>
      <c r="W169">
        <v>132.80000000000001</v>
      </c>
      <c r="X169">
        <v>130.19999999999999</v>
      </c>
      <c r="Y169">
        <v>117.3</v>
      </c>
      <c r="Z169">
        <v>127.3</v>
      </c>
      <c r="AA169">
        <v>137.6</v>
      </c>
      <c r="AB169">
        <v>124.5</v>
      </c>
      <c r="AC169">
        <v>126.8</v>
      </c>
      <c r="AD169">
        <v>135.4</v>
      </c>
    </row>
    <row r="170" spans="1:30" x14ac:dyDescent="0.25">
      <c r="A170" t="s">
        <v>30</v>
      </c>
      <c r="B170">
        <v>2017</v>
      </c>
      <c r="C170" t="s">
        <v>42</v>
      </c>
      <c r="D170">
        <v>135.19999999999999</v>
      </c>
      <c r="E170">
        <v>142</v>
      </c>
      <c r="F170">
        <v>130.5</v>
      </c>
      <c r="G170">
        <v>140.19999999999999</v>
      </c>
      <c r="H170">
        <v>120.7</v>
      </c>
      <c r="I170">
        <v>147.80000000000001</v>
      </c>
      <c r="J170">
        <v>154.5</v>
      </c>
      <c r="K170">
        <v>137.1</v>
      </c>
      <c r="L170">
        <v>121</v>
      </c>
      <c r="M170">
        <v>134.69999999999999</v>
      </c>
      <c r="N170">
        <v>131.69999999999999</v>
      </c>
      <c r="O170">
        <v>149.30000000000001</v>
      </c>
      <c r="P170">
        <v>139.6</v>
      </c>
      <c r="Q170">
        <v>149.80000000000001</v>
      </c>
      <c r="R170">
        <v>146.1</v>
      </c>
      <c r="S170">
        <v>139.69999999999999</v>
      </c>
      <c r="T170">
        <v>145.19999999999999</v>
      </c>
      <c r="U170" t="s">
        <v>32</v>
      </c>
      <c r="V170">
        <v>137.4</v>
      </c>
      <c r="W170">
        <v>137.9</v>
      </c>
      <c r="X170">
        <v>133.4</v>
      </c>
      <c r="Y170">
        <v>121.2</v>
      </c>
      <c r="Z170">
        <v>132.30000000000001</v>
      </c>
      <c r="AA170">
        <v>139.6</v>
      </c>
      <c r="AB170">
        <v>126.7</v>
      </c>
      <c r="AC170">
        <v>130.30000000000001</v>
      </c>
      <c r="AD170">
        <v>137.6</v>
      </c>
    </row>
    <row r="171" spans="1:30" x14ac:dyDescent="0.25">
      <c r="A171" t="s">
        <v>33</v>
      </c>
      <c r="B171">
        <v>2017</v>
      </c>
      <c r="C171" t="s">
        <v>42</v>
      </c>
      <c r="D171">
        <v>133.6</v>
      </c>
      <c r="E171">
        <v>143</v>
      </c>
      <c r="F171">
        <v>129.69999999999999</v>
      </c>
      <c r="G171">
        <v>138.69999999999999</v>
      </c>
      <c r="H171">
        <v>114.5</v>
      </c>
      <c r="I171">
        <v>137.5</v>
      </c>
      <c r="J171">
        <v>160.69999999999999</v>
      </c>
      <c r="K171">
        <v>124.5</v>
      </c>
      <c r="L171">
        <v>122.4</v>
      </c>
      <c r="M171">
        <v>137.30000000000001</v>
      </c>
      <c r="N171">
        <v>124.8</v>
      </c>
      <c r="O171">
        <v>145</v>
      </c>
      <c r="P171">
        <v>138</v>
      </c>
      <c r="Q171">
        <v>153.6</v>
      </c>
      <c r="R171">
        <v>133.30000000000001</v>
      </c>
      <c r="S171">
        <v>124.6</v>
      </c>
      <c r="T171">
        <v>132</v>
      </c>
      <c r="U171">
        <v>135.69999999999999</v>
      </c>
      <c r="V171">
        <v>120.6</v>
      </c>
      <c r="W171">
        <v>128.1</v>
      </c>
      <c r="X171">
        <v>126.1</v>
      </c>
      <c r="Y171">
        <v>115.7</v>
      </c>
      <c r="Z171">
        <v>124.5</v>
      </c>
      <c r="AA171">
        <v>135.9</v>
      </c>
      <c r="AB171">
        <v>124.4</v>
      </c>
      <c r="AC171">
        <v>124.5</v>
      </c>
      <c r="AD171">
        <v>132.4</v>
      </c>
    </row>
    <row r="172" spans="1:30" x14ac:dyDescent="0.25">
      <c r="A172" t="s">
        <v>34</v>
      </c>
      <c r="B172">
        <v>2017</v>
      </c>
      <c r="C172" t="s">
        <v>42</v>
      </c>
      <c r="D172">
        <v>134.69999999999999</v>
      </c>
      <c r="E172">
        <v>142.4</v>
      </c>
      <c r="F172">
        <v>130.19999999999999</v>
      </c>
      <c r="G172">
        <v>139.6</v>
      </c>
      <c r="H172">
        <v>118.4</v>
      </c>
      <c r="I172">
        <v>143</v>
      </c>
      <c r="J172">
        <v>156.6</v>
      </c>
      <c r="K172">
        <v>132.9</v>
      </c>
      <c r="L172">
        <v>121.5</v>
      </c>
      <c r="M172">
        <v>135.6</v>
      </c>
      <c r="N172">
        <v>128.80000000000001</v>
      </c>
      <c r="O172">
        <v>147.30000000000001</v>
      </c>
      <c r="P172">
        <v>139</v>
      </c>
      <c r="Q172">
        <v>150.80000000000001</v>
      </c>
      <c r="R172">
        <v>141.1</v>
      </c>
      <c r="S172">
        <v>133.4</v>
      </c>
      <c r="T172">
        <v>140</v>
      </c>
      <c r="U172">
        <v>135.69999999999999</v>
      </c>
      <c r="V172">
        <v>131</v>
      </c>
      <c r="W172">
        <v>133.30000000000001</v>
      </c>
      <c r="X172">
        <v>130.6</v>
      </c>
      <c r="Y172">
        <v>118.3</v>
      </c>
      <c r="Z172">
        <v>127.9</v>
      </c>
      <c r="AA172">
        <v>137.4</v>
      </c>
      <c r="AB172">
        <v>125.7</v>
      </c>
      <c r="AC172">
        <v>127.5</v>
      </c>
      <c r="AD172">
        <v>135.19999999999999</v>
      </c>
    </row>
    <row r="173" spans="1:30" x14ac:dyDescent="0.25">
      <c r="A173" t="s">
        <v>30</v>
      </c>
      <c r="B173">
        <v>2017</v>
      </c>
      <c r="C173" t="s">
        <v>43</v>
      </c>
      <c r="D173">
        <v>135.9</v>
      </c>
      <c r="E173">
        <v>141.9</v>
      </c>
      <c r="F173">
        <v>131</v>
      </c>
      <c r="G173">
        <v>141.5</v>
      </c>
      <c r="H173">
        <v>121.4</v>
      </c>
      <c r="I173">
        <v>146.69999999999999</v>
      </c>
      <c r="J173">
        <v>157.1</v>
      </c>
      <c r="K173">
        <v>136.4</v>
      </c>
      <c r="L173">
        <v>121.4</v>
      </c>
      <c r="M173">
        <v>135.6</v>
      </c>
      <c r="N173">
        <v>131.30000000000001</v>
      </c>
      <c r="O173">
        <v>150.30000000000001</v>
      </c>
      <c r="P173">
        <v>140.4</v>
      </c>
      <c r="Q173">
        <v>150.5</v>
      </c>
      <c r="R173">
        <v>147.19999999999999</v>
      </c>
      <c r="S173">
        <v>140.6</v>
      </c>
      <c r="T173">
        <v>146.19999999999999</v>
      </c>
      <c r="U173" t="s">
        <v>32</v>
      </c>
      <c r="V173">
        <v>138.1</v>
      </c>
      <c r="W173">
        <v>138.4</v>
      </c>
      <c r="X173">
        <v>134.19999999999999</v>
      </c>
      <c r="Y173">
        <v>121</v>
      </c>
      <c r="Z173">
        <v>133</v>
      </c>
      <c r="AA173">
        <v>140.1</v>
      </c>
      <c r="AB173">
        <v>127.4</v>
      </c>
      <c r="AC173">
        <v>130.69999999999999</v>
      </c>
      <c r="AD173">
        <v>138.30000000000001</v>
      </c>
    </row>
    <row r="174" spans="1:30" x14ac:dyDescent="0.25">
      <c r="A174" t="s">
        <v>33</v>
      </c>
      <c r="B174">
        <v>2017</v>
      </c>
      <c r="C174" t="s">
        <v>43</v>
      </c>
      <c r="D174">
        <v>133.9</v>
      </c>
      <c r="E174">
        <v>142.80000000000001</v>
      </c>
      <c r="F174">
        <v>131.4</v>
      </c>
      <c r="G174">
        <v>139.1</v>
      </c>
      <c r="H174">
        <v>114.9</v>
      </c>
      <c r="I174">
        <v>135.6</v>
      </c>
      <c r="J174">
        <v>173.2</v>
      </c>
      <c r="K174">
        <v>124.1</v>
      </c>
      <c r="L174">
        <v>122.6</v>
      </c>
      <c r="M174">
        <v>137.80000000000001</v>
      </c>
      <c r="N174">
        <v>125.1</v>
      </c>
      <c r="O174">
        <v>145.5</v>
      </c>
      <c r="P174">
        <v>139.69999999999999</v>
      </c>
      <c r="Q174">
        <v>154.6</v>
      </c>
      <c r="R174">
        <v>134</v>
      </c>
      <c r="S174">
        <v>124.9</v>
      </c>
      <c r="T174">
        <v>132.6</v>
      </c>
      <c r="U174">
        <v>137.30000000000001</v>
      </c>
      <c r="V174">
        <v>122.6</v>
      </c>
      <c r="W174">
        <v>128.30000000000001</v>
      </c>
      <c r="X174">
        <v>126.6</v>
      </c>
      <c r="Y174">
        <v>115</v>
      </c>
      <c r="Z174">
        <v>124.8</v>
      </c>
      <c r="AA174">
        <v>136.30000000000001</v>
      </c>
      <c r="AB174">
        <v>124.6</v>
      </c>
      <c r="AC174">
        <v>124.5</v>
      </c>
      <c r="AD174">
        <v>133.5</v>
      </c>
    </row>
    <row r="175" spans="1:30" x14ac:dyDescent="0.25">
      <c r="A175" t="s">
        <v>34</v>
      </c>
      <c r="B175">
        <v>2017</v>
      </c>
      <c r="C175" t="s">
        <v>43</v>
      </c>
      <c r="D175">
        <v>135.30000000000001</v>
      </c>
      <c r="E175">
        <v>142.19999999999999</v>
      </c>
      <c r="F175">
        <v>131.19999999999999</v>
      </c>
      <c r="G175">
        <v>140.6</v>
      </c>
      <c r="H175">
        <v>119</v>
      </c>
      <c r="I175">
        <v>141.5</v>
      </c>
      <c r="J175">
        <v>162.6</v>
      </c>
      <c r="K175">
        <v>132.30000000000001</v>
      </c>
      <c r="L175">
        <v>121.8</v>
      </c>
      <c r="M175">
        <v>136.30000000000001</v>
      </c>
      <c r="N175">
        <v>128.69999999999999</v>
      </c>
      <c r="O175">
        <v>148.1</v>
      </c>
      <c r="P175">
        <v>140.1</v>
      </c>
      <c r="Q175">
        <v>151.6</v>
      </c>
      <c r="R175">
        <v>142</v>
      </c>
      <c r="S175">
        <v>134.1</v>
      </c>
      <c r="T175">
        <v>140.80000000000001</v>
      </c>
      <c r="U175">
        <v>137.30000000000001</v>
      </c>
      <c r="V175">
        <v>132.19999999999999</v>
      </c>
      <c r="W175">
        <v>133.6</v>
      </c>
      <c r="X175">
        <v>131.30000000000001</v>
      </c>
      <c r="Y175">
        <v>117.8</v>
      </c>
      <c r="Z175">
        <v>128.4</v>
      </c>
      <c r="AA175">
        <v>137.9</v>
      </c>
      <c r="AB175">
        <v>126.2</v>
      </c>
      <c r="AC175">
        <v>127.7</v>
      </c>
      <c r="AD175">
        <v>136.1</v>
      </c>
    </row>
    <row r="176" spans="1:30" x14ac:dyDescent="0.25">
      <c r="A176" t="s">
        <v>30</v>
      </c>
      <c r="B176">
        <v>2017</v>
      </c>
      <c r="C176" t="s">
        <v>45</v>
      </c>
      <c r="D176">
        <v>136.30000000000001</v>
      </c>
      <c r="E176">
        <v>142.5</v>
      </c>
      <c r="F176">
        <v>140.5</v>
      </c>
      <c r="G176">
        <v>141.5</v>
      </c>
      <c r="H176">
        <v>121.6</v>
      </c>
      <c r="I176">
        <v>147.30000000000001</v>
      </c>
      <c r="J176">
        <v>168</v>
      </c>
      <c r="K176">
        <v>135.80000000000001</v>
      </c>
      <c r="L176">
        <v>122.5</v>
      </c>
      <c r="M176">
        <v>136</v>
      </c>
      <c r="N176">
        <v>131.9</v>
      </c>
      <c r="O176">
        <v>151.4</v>
      </c>
      <c r="P176">
        <v>142.4</v>
      </c>
      <c r="Q176">
        <v>152.1</v>
      </c>
      <c r="R176">
        <v>148.19999999999999</v>
      </c>
      <c r="S176">
        <v>141.5</v>
      </c>
      <c r="T176">
        <v>147.30000000000001</v>
      </c>
      <c r="U176" t="s">
        <v>32</v>
      </c>
      <c r="V176">
        <v>141.1</v>
      </c>
      <c r="W176">
        <v>139.4</v>
      </c>
      <c r="X176">
        <v>135.80000000000001</v>
      </c>
      <c r="Y176">
        <v>121.6</v>
      </c>
      <c r="Z176">
        <v>133.69999999999999</v>
      </c>
      <c r="AA176">
        <v>141.5</v>
      </c>
      <c r="AB176">
        <v>128.1</v>
      </c>
      <c r="AC176">
        <v>131.69999999999999</v>
      </c>
      <c r="AD176">
        <v>140</v>
      </c>
    </row>
    <row r="177" spans="1:30" x14ac:dyDescent="0.25">
      <c r="A177" t="s">
        <v>33</v>
      </c>
      <c r="B177">
        <v>2017</v>
      </c>
      <c r="C177" t="s">
        <v>45</v>
      </c>
      <c r="D177">
        <v>134.30000000000001</v>
      </c>
      <c r="E177">
        <v>142.1</v>
      </c>
      <c r="F177">
        <v>146.69999999999999</v>
      </c>
      <c r="G177">
        <v>139.5</v>
      </c>
      <c r="H177">
        <v>115.2</v>
      </c>
      <c r="I177">
        <v>136.4</v>
      </c>
      <c r="J177">
        <v>185.2</v>
      </c>
      <c r="K177">
        <v>122.2</v>
      </c>
      <c r="L177">
        <v>123.9</v>
      </c>
      <c r="M177">
        <v>138.30000000000001</v>
      </c>
      <c r="N177">
        <v>125.4</v>
      </c>
      <c r="O177">
        <v>146</v>
      </c>
      <c r="P177">
        <v>141.5</v>
      </c>
      <c r="Q177">
        <v>156.19999999999999</v>
      </c>
      <c r="R177">
        <v>135</v>
      </c>
      <c r="S177">
        <v>125.4</v>
      </c>
      <c r="T177">
        <v>133.5</v>
      </c>
      <c r="U177">
        <v>138.6</v>
      </c>
      <c r="V177">
        <v>125.7</v>
      </c>
      <c r="W177">
        <v>128.80000000000001</v>
      </c>
      <c r="X177">
        <v>127.4</v>
      </c>
      <c r="Y177">
        <v>115.3</v>
      </c>
      <c r="Z177">
        <v>125.1</v>
      </c>
      <c r="AA177">
        <v>136.6</v>
      </c>
      <c r="AB177">
        <v>124.9</v>
      </c>
      <c r="AC177">
        <v>124.9</v>
      </c>
      <c r="AD177">
        <v>134.80000000000001</v>
      </c>
    </row>
    <row r="178" spans="1:30" x14ac:dyDescent="0.25">
      <c r="A178" t="s">
        <v>34</v>
      </c>
      <c r="B178">
        <v>2017</v>
      </c>
      <c r="C178" t="s">
        <v>45</v>
      </c>
      <c r="D178">
        <v>135.69999999999999</v>
      </c>
      <c r="E178">
        <v>142.4</v>
      </c>
      <c r="F178">
        <v>142.9</v>
      </c>
      <c r="G178">
        <v>140.80000000000001</v>
      </c>
      <c r="H178">
        <v>119.2</v>
      </c>
      <c r="I178">
        <v>142.19999999999999</v>
      </c>
      <c r="J178">
        <v>173.8</v>
      </c>
      <c r="K178">
        <v>131.19999999999999</v>
      </c>
      <c r="L178">
        <v>123</v>
      </c>
      <c r="M178">
        <v>136.80000000000001</v>
      </c>
      <c r="N178">
        <v>129.19999999999999</v>
      </c>
      <c r="O178">
        <v>148.9</v>
      </c>
      <c r="P178">
        <v>142.1</v>
      </c>
      <c r="Q178">
        <v>153.19999999999999</v>
      </c>
      <c r="R178">
        <v>143</v>
      </c>
      <c r="S178">
        <v>134.80000000000001</v>
      </c>
      <c r="T178">
        <v>141.80000000000001</v>
      </c>
      <c r="U178">
        <v>138.6</v>
      </c>
      <c r="V178">
        <v>135.30000000000001</v>
      </c>
      <c r="W178">
        <v>134.4</v>
      </c>
      <c r="X178">
        <v>132.6</v>
      </c>
      <c r="Y178">
        <v>118.3</v>
      </c>
      <c r="Z178">
        <v>128.9</v>
      </c>
      <c r="AA178">
        <v>138.6</v>
      </c>
      <c r="AB178">
        <v>126.8</v>
      </c>
      <c r="AC178">
        <v>128.4</v>
      </c>
      <c r="AD178">
        <v>137.6</v>
      </c>
    </row>
    <row r="179" spans="1:30" x14ac:dyDescent="0.25">
      <c r="A179" t="s">
        <v>30</v>
      </c>
      <c r="B179">
        <v>2017</v>
      </c>
      <c r="C179" t="s">
        <v>46</v>
      </c>
      <c r="D179">
        <v>136.4</v>
      </c>
      <c r="E179">
        <v>143.69999999999999</v>
      </c>
      <c r="F179">
        <v>144.80000000000001</v>
      </c>
      <c r="G179">
        <v>141.9</v>
      </c>
      <c r="H179">
        <v>123.1</v>
      </c>
      <c r="I179">
        <v>147.19999999999999</v>
      </c>
      <c r="J179">
        <v>161</v>
      </c>
      <c r="K179">
        <v>133.80000000000001</v>
      </c>
      <c r="L179">
        <v>121.9</v>
      </c>
      <c r="M179">
        <v>135.80000000000001</v>
      </c>
      <c r="N179">
        <v>131.1</v>
      </c>
      <c r="O179">
        <v>151.4</v>
      </c>
      <c r="P179">
        <v>141.5</v>
      </c>
      <c r="Q179">
        <v>153.19999999999999</v>
      </c>
      <c r="R179">
        <v>148</v>
      </c>
      <c r="S179">
        <v>141.9</v>
      </c>
      <c r="T179">
        <v>147.19999999999999</v>
      </c>
      <c r="U179" t="s">
        <v>32</v>
      </c>
      <c r="V179">
        <v>142.6</v>
      </c>
      <c r="W179">
        <v>139.5</v>
      </c>
      <c r="X179">
        <v>136.1</v>
      </c>
      <c r="Y179">
        <v>122</v>
      </c>
      <c r="Z179">
        <v>133.4</v>
      </c>
      <c r="AA179">
        <v>141.1</v>
      </c>
      <c r="AB179">
        <v>127.8</v>
      </c>
      <c r="AC179">
        <v>131.9</v>
      </c>
      <c r="AD179">
        <v>139.80000000000001</v>
      </c>
    </row>
    <row r="180" spans="1:30" x14ac:dyDescent="0.25">
      <c r="A180" t="s">
        <v>33</v>
      </c>
      <c r="B180">
        <v>2017</v>
      </c>
      <c r="C180" t="s">
        <v>46</v>
      </c>
      <c r="D180">
        <v>134.4</v>
      </c>
      <c r="E180">
        <v>142.6</v>
      </c>
      <c r="F180">
        <v>145.9</v>
      </c>
      <c r="G180">
        <v>139.5</v>
      </c>
      <c r="H180">
        <v>115.9</v>
      </c>
      <c r="I180">
        <v>135</v>
      </c>
      <c r="J180">
        <v>163.19999999999999</v>
      </c>
      <c r="K180">
        <v>119.8</v>
      </c>
      <c r="L180">
        <v>120.7</v>
      </c>
      <c r="M180">
        <v>139.69999999999999</v>
      </c>
      <c r="N180">
        <v>125.7</v>
      </c>
      <c r="O180">
        <v>146.30000000000001</v>
      </c>
      <c r="P180">
        <v>138.80000000000001</v>
      </c>
      <c r="Q180">
        <v>157</v>
      </c>
      <c r="R180">
        <v>135.6</v>
      </c>
      <c r="S180">
        <v>125.6</v>
      </c>
      <c r="T180">
        <v>134</v>
      </c>
      <c r="U180">
        <v>139.1</v>
      </c>
      <c r="V180">
        <v>126.8</v>
      </c>
      <c r="W180">
        <v>129.30000000000001</v>
      </c>
      <c r="X180">
        <v>128.19999999999999</v>
      </c>
      <c r="Y180">
        <v>115.3</v>
      </c>
      <c r="Z180">
        <v>125.6</v>
      </c>
      <c r="AA180">
        <v>136.69999999999999</v>
      </c>
      <c r="AB180">
        <v>124.6</v>
      </c>
      <c r="AC180">
        <v>125.1</v>
      </c>
      <c r="AD180">
        <v>134.1</v>
      </c>
    </row>
    <row r="181" spans="1:30" x14ac:dyDescent="0.25">
      <c r="A181" t="s">
        <v>34</v>
      </c>
      <c r="B181">
        <v>2017</v>
      </c>
      <c r="C181" t="s">
        <v>46</v>
      </c>
      <c r="D181">
        <v>135.80000000000001</v>
      </c>
      <c r="E181">
        <v>143.30000000000001</v>
      </c>
      <c r="F181">
        <v>145.19999999999999</v>
      </c>
      <c r="G181">
        <v>141</v>
      </c>
      <c r="H181">
        <v>120.5</v>
      </c>
      <c r="I181">
        <v>141.5</v>
      </c>
      <c r="J181">
        <v>161.69999999999999</v>
      </c>
      <c r="K181">
        <v>129.1</v>
      </c>
      <c r="L181">
        <v>121.5</v>
      </c>
      <c r="M181">
        <v>137.1</v>
      </c>
      <c r="N181">
        <v>128.80000000000001</v>
      </c>
      <c r="O181">
        <v>149</v>
      </c>
      <c r="P181">
        <v>140.5</v>
      </c>
      <c r="Q181">
        <v>154.19999999999999</v>
      </c>
      <c r="R181">
        <v>143.1</v>
      </c>
      <c r="S181">
        <v>135.1</v>
      </c>
      <c r="T181">
        <v>142</v>
      </c>
      <c r="U181">
        <v>139.1</v>
      </c>
      <c r="V181">
        <v>136.6</v>
      </c>
      <c r="W181">
        <v>134.69999999999999</v>
      </c>
      <c r="X181">
        <v>133.1</v>
      </c>
      <c r="Y181">
        <v>118.5</v>
      </c>
      <c r="Z181">
        <v>129</v>
      </c>
      <c r="AA181">
        <v>138.5</v>
      </c>
      <c r="AB181">
        <v>126.5</v>
      </c>
      <c r="AC181">
        <v>128.6</v>
      </c>
      <c r="AD181">
        <v>137.19999999999999</v>
      </c>
    </row>
    <row r="182" spans="1:30" x14ac:dyDescent="0.25">
      <c r="A182" t="s">
        <v>30</v>
      </c>
      <c r="B182">
        <v>2018</v>
      </c>
      <c r="C182" t="s">
        <v>31</v>
      </c>
      <c r="D182">
        <v>136.6</v>
      </c>
      <c r="E182">
        <v>144.4</v>
      </c>
      <c r="F182">
        <v>143.80000000000001</v>
      </c>
      <c r="G182">
        <v>142</v>
      </c>
      <c r="H182">
        <v>123.2</v>
      </c>
      <c r="I182">
        <v>147.9</v>
      </c>
      <c r="J182">
        <v>152.1</v>
      </c>
      <c r="K182">
        <v>131.80000000000001</v>
      </c>
      <c r="L182">
        <v>119.5</v>
      </c>
      <c r="M182">
        <v>136</v>
      </c>
      <c r="N182">
        <v>131.19999999999999</v>
      </c>
      <c r="O182">
        <v>151.80000000000001</v>
      </c>
      <c r="P182">
        <v>140.4</v>
      </c>
      <c r="Q182">
        <v>153.6</v>
      </c>
      <c r="R182">
        <v>148.30000000000001</v>
      </c>
      <c r="S182">
        <v>142.30000000000001</v>
      </c>
      <c r="T182">
        <v>147.5</v>
      </c>
      <c r="U182" t="s">
        <v>32</v>
      </c>
      <c r="V182">
        <v>142.30000000000001</v>
      </c>
      <c r="W182">
        <v>139.80000000000001</v>
      </c>
      <c r="X182">
        <v>136</v>
      </c>
      <c r="Y182">
        <v>122.7</v>
      </c>
      <c r="Z182">
        <v>134.30000000000001</v>
      </c>
      <c r="AA182">
        <v>141.6</v>
      </c>
      <c r="AB182">
        <v>128.6</v>
      </c>
      <c r="AC182">
        <v>132.30000000000001</v>
      </c>
      <c r="AD182">
        <v>139.30000000000001</v>
      </c>
    </row>
    <row r="183" spans="1:30" x14ac:dyDescent="0.25">
      <c r="A183" t="s">
        <v>33</v>
      </c>
      <c r="B183">
        <v>2018</v>
      </c>
      <c r="C183" t="s">
        <v>31</v>
      </c>
      <c r="D183">
        <v>134.6</v>
      </c>
      <c r="E183">
        <v>143.69999999999999</v>
      </c>
      <c r="F183">
        <v>143.6</v>
      </c>
      <c r="G183">
        <v>139.6</v>
      </c>
      <c r="H183">
        <v>116.4</v>
      </c>
      <c r="I183">
        <v>133.80000000000001</v>
      </c>
      <c r="J183">
        <v>150.5</v>
      </c>
      <c r="K183">
        <v>118.4</v>
      </c>
      <c r="L183">
        <v>117.3</v>
      </c>
      <c r="M183">
        <v>140.5</v>
      </c>
      <c r="N183">
        <v>125.9</v>
      </c>
      <c r="O183">
        <v>146.80000000000001</v>
      </c>
      <c r="P183">
        <v>137.19999999999999</v>
      </c>
      <c r="Q183">
        <v>157.69999999999999</v>
      </c>
      <c r="R183">
        <v>136</v>
      </c>
      <c r="S183">
        <v>125.9</v>
      </c>
      <c r="T183">
        <v>134.4</v>
      </c>
      <c r="U183">
        <v>140.4</v>
      </c>
      <c r="V183">
        <v>127.3</v>
      </c>
      <c r="W183">
        <v>129.5</v>
      </c>
      <c r="X183">
        <v>129</v>
      </c>
      <c r="Y183">
        <v>116.3</v>
      </c>
      <c r="Z183">
        <v>126.2</v>
      </c>
      <c r="AA183">
        <v>137.1</v>
      </c>
      <c r="AB183">
        <v>125.5</v>
      </c>
      <c r="AC183">
        <v>125.8</v>
      </c>
      <c r="AD183">
        <v>134.1</v>
      </c>
    </row>
    <row r="184" spans="1:30" x14ac:dyDescent="0.25">
      <c r="A184" t="s">
        <v>34</v>
      </c>
      <c r="B184">
        <v>2018</v>
      </c>
      <c r="C184" t="s">
        <v>31</v>
      </c>
      <c r="D184">
        <v>136</v>
      </c>
      <c r="E184">
        <v>144.19999999999999</v>
      </c>
      <c r="F184">
        <v>143.69999999999999</v>
      </c>
      <c r="G184">
        <v>141.1</v>
      </c>
      <c r="H184">
        <v>120.7</v>
      </c>
      <c r="I184">
        <v>141.30000000000001</v>
      </c>
      <c r="J184">
        <v>151.6</v>
      </c>
      <c r="K184">
        <v>127.3</v>
      </c>
      <c r="L184">
        <v>118.8</v>
      </c>
      <c r="M184">
        <v>137.5</v>
      </c>
      <c r="N184">
        <v>129</v>
      </c>
      <c r="O184">
        <v>149.5</v>
      </c>
      <c r="P184">
        <v>139.19999999999999</v>
      </c>
      <c r="Q184">
        <v>154.69999999999999</v>
      </c>
      <c r="R184">
        <v>143.5</v>
      </c>
      <c r="S184">
        <v>135.5</v>
      </c>
      <c r="T184">
        <v>142.30000000000001</v>
      </c>
      <c r="U184">
        <v>140.4</v>
      </c>
      <c r="V184">
        <v>136.6</v>
      </c>
      <c r="W184">
        <v>134.9</v>
      </c>
      <c r="X184">
        <v>133.30000000000001</v>
      </c>
      <c r="Y184">
        <v>119.3</v>
      </c>
      <c r="Z184">
        <v>129.69999999999999</v>
      </c>
      <c r="AA184">
        <v>139</v>
      </c>
      <c r="AB184">
        <v>127.3</v>
      </c>
      <c r="AC184">
        <v>129.1</v>
      </c>
      <c r="AD184">
        <v>136.9</v>
      </c>
    </row>
    <row r="185" spans="1:30" x14ac:dyDescent="0.25">
      <c r="A185" t="s">
        <v>30</v>
      </c>
      <c r="B185">
        <v>2018</v>
      </c>
      <c r="C185" t="s">
        <v>35</v>
      </c>
      <c r="D185">
        <v>136.4</v>
      </c>
      <c r="E185">
        <v>143.69999999999999</v>
      </c>
      <c r="F185">
        <v>140.6</v>
      </c>
      <c r="G185">
        <v>141.5</v>
      </c>
      <c r="H185">
        <v>122.9</v>
      </c>
      <c r="I185">
        <v>149.4</v>
      </c>
      <c r="J185">
        <v>142.4</v>
      </c>
      <c r="K185">
        <v>130.19999999999999</v>
      </c>
      <c r="L185">
        <v>117.9</v>
      </c>
      <c r="M185">
        <v>135.6</v>
      </c>
      <c r="N185">
        <v>130.5</v>
      </c>
      <c r="O185">
        <v>151.69999999999999</v>
      </c>
      <c r="P185">
        <v>138.69999999999999</v>
      </c>
      <c r="Q185">
        <v>153.30000000000001</v>
      </c>
      <c r="R185">
        <v>148.69999999999999</v>
      </c>
      <c r="S185">
        <v>142.4</v>
      </c>
      <c r="T185">
        <v>147.80000000000001</v>
      </c>
      <c r="U185" t="s">
        <v>32</v>
      </c>
      <c r="V185">
        <v>142.4</v>
      </c>
      <c r="W185">
        <v>139.9</v>
      </c>
      <c r="X185">
        <v>136.19999999999999</v>
      </c>
      <c r="Y185">
        <v>123.3</v>
      </c>
      <c r="Z185">
        <v>134.30000000000001</v>
      </c>
      <c r="AA185">
        <v>141.5</v>
      </c>
      <c r="AB185">
        <v>128.80000000000001</v>
      </c>
      <c r="AC185">
        <v>132.5</v>
      </c>
      <c r="AD185">
        <v>138.5</v>
      </c>
    </row>
    <row r="186" spans="1:30" x14ac:dyDescent="0.25">
      <c r="A186" t="s">
        <v>33</v>
      </c>
      <c r="B186">
        <v>2018</v>
      </c>
      <c r="C186" t="s">
        <v>35</v>
      </c>
      <c r="D186">
        <v>134.80000000000001</v>
      </c>
      <c r="E186">
        <v>143</v>
      </c>
      <c r="F186">
        <v>139.9</v>
      </c>
      <c r="G186">
        <v>139.9</v>
      </c>
      <c r="H186">
        <v>116.2</v>
      </c>
      <c r="I186">
        <v>135.5</v>
      </c>
      <c r="J186">
        <v>136.9</v>
      </c>
      <c r="K186">
        <v>117</v>
      </c>
      <c r="L186">
        <v>115.4</v>
      </c>
      <c r="M186">
        <v>140.69999999999999</v>
      </c>
      <c r="N186">
        <v>125.9</v>
      </c>
      <c r="O186">
        <v>147.1</v>
      </c>
      <c r="P186">
        <v>135.6</v>
      </c>
      <c r="Q186">
        <v>159.30000000000001</v>
      </c>
      <c r="R186">
        <v>136.30000000000001</v>
      </c>
      <c r="S186">
        <v>126.1</v>
      </c>
      <c r="T186">
        <v>134.69999999999999</v>
      </c>
      <c r="U186">
        <v>141.30000000000001</v>
      </c>
      <c r="V186">
        <v>127.3</v>
      </c>
      <c r="W186">
        <v>129.9</v>
      </c>
      <c r="X186">
        <v>129.80000000000001</v>
      </c>
      <c r="Y186">
        <v>117.4</v>
      </c>
      <c r="Z186">
        <v>126.5</v>
      </c>
      <c r="AA186">
        <v>137.19999999999999</v>
      </c>
      <c r="AB186">
        <v>126.2</v>
      </c>
      <c r="AC186">
        <v>126.5</v>
      </c>
      <c r="AD186">
        <v>134</v>
      </c>
    </row>
    <row r="187" spans="1:30" x14ac:dyDescent="0.25">
      <c r="A187" t="s">
        <v>34</v>
      </c>
      <c r="B187">
        <v>2018</v>
      </c>
      <c r="C187" t="s">
        <v>35</v>
      </c>
      <c r="D187">
        <v>135.9</v>
      </c>
      <c r="E187">
        <v>143.5</v>
      </c>
      <c r="F187">
        <v>140.30000000000001</v>
      </c>
      <c r="G187">
        <v>140.9</v>
      </c>
      <c r="H187">
        <v>120.4</v>
      </c>
      <c r="I187">
        <v>142.9</v>
      </c>
      <c r="J187">
        <v>140.5</v>
      </c>
      <c r="K187">
        <v>125.8</v>
      </c>
      <c r="L187">
        <v>117.1</v>
      </c>
      <c r="M187">
        <v>137.30000000000001</v>
      </c>
      <c r="N187">
        <v>128.6</v>
      </c>
      <c r="O187">
        <v>149.6</v>
      </c>
      <c r="P187">
        <v>137.6</v>
      </c>
      <c r="Q187">
        <v>154.9</v>
      </c>
      <c r="R187">
        <v>143.80000000000001</v>
      </c>
      <c r="S187">
        <v>135.6</v>
      </c>
      <c r="T187">
        <v>142.6</v>
      </c>
      <c r="U187">
        <v>141.30000000000001</v>
      </c>
      <c r="V187">
        <v>136.69999999999999</v>
      </c>
      <c r="W187">
        <v>135.19999999999999</v>
      </c>
      <c r="X187">
        <v>133.80000000000001</v>
      </c>
      <c r="Y187">
        <v>120.2</v>
      </c>
      <c r="Z187">
        <v>129.9</v>
      </c>
      <c r="AA187">
        <v>139</v>
      </c>
      <c r="AB187">
        <v>127.7</v>
      </c>
      <c r="AC187">
        <v>129.6</v>
      </c>
      <c r="AD187">
        <v>136.4</v>
      </c>
    </row>
    <row r="188" spans="1:30" x14ac:dyDescent="0.25">
      <c r="A188" t="s">
        <v>30</v>
      </c>
      <c r="B188">
        <v>2018</v>
      </c>
      <c r="C188" t="s">
        <v>36</v>
      </c>
      <c r="D188">
        <v>136.80000000000001</v>
      </c>
      <c r="E188">
        <v>143.80000000000001</v>
      </c>
      <c r="F188">
        <v>140</v>
      </c>
      <c r="G188">
        <v>142</v>
      </c>
      <c r="H188">
        <v>123.2</v>
      </c>
      <c r="I188">
        <v>152.9</v>
      </c>
      <c r="J188">
        <v>138</v>
      </c>
      <c r="K188">
        <v>129.30000000000001</v>
      </c>
      <c r="L188">
        <v>117.1</v>
      </c>
      <c r="M188">
        <v>136.30000000000001</v>
      </c>
      <c r="N188">
        <v>131.19999999999999</v>
      </c>
      <c r="O188">
        <v>152.80000000000001</v>
      </c>
      <c r="P188">
        <v>138.6</v>
      </c>
      <c r="Q188">
        <v>155.1</v>
      </c>
      <c r="R188">
        <v>149.19999999999999</v>
      </c>
      <c r="S188">
        <v>143</v>
      </c>
      <c r="T188">
        <v>148.30000000000001</v>
      </c>
      <c r="U188" t="s">
        <v>32</v>
      </c>
      <c r="V188">
        <v>142.6</v>
      </c>
      <c r="W188">
        <v>139.9</v>
      </c>
      <c r="X188">
        <v>136.69999999999999</v>
      </c>
      <c r="Y188">
        <v>124.6</v>
      </c>
      <c r="Z188">
        <v>135.1</v>
      </c>
      <c r="AA188">
        <v>142.69999999999999</v>
      </c>
      <c r="AB188">
        <v>129.30000000000001</v>
      </c>
      <c r="AC188">
        <v>133.30000000000001</v>
      </c>
      <c r="AD188">
        <v>138.69999999999999</v>
      </c>
    </row>
    <row r="189" spans="1:30" x14ac:dyDescent="0.25">
      <c r="A189" t="s">
        <v>33</v>
      </c>
      <c r="B189">
        <v>2018</v>
      </c>
      <c r="C189" t="s">
        <v>36</v>
      </c>
      <c r="D189">
        <v>135</v>
      </c>
      <c r="E189">
        <v>143.1</v>
      </c>
      <c r="F189">
        <v>135.5</v>
      </c>
      <c r="G189">
        <v>139.9</v>
      </c>
      <c r="H189">
        <v>116.5</v>
      </c>
      <c r="I189">
        <v>138.5</v>
      </c>
      <c r="J189">
        <v>128</v>
      </c>
      <c r="K189">
        <v>115.5</v>
      </c>
      <c r="L189">
        <v>114.2</v>
      </c>
      <c r="M189">
        <v>140.69999999999999</v>
      </c>
      <c r="N189">
        <v>126.2</v>
      </c>
      <c r="O189">
        <v>147.6</v>
      </c>
      <c r="P189">
        <v>134.80000000000001</v>
      </c>
      <c r="Q189">
        <v>159.69999999999999</v>
      </c>
      <c r="R189">
        <v>136.69999999999999</v>
      </c>
      <c r="S189">
        <v>126.7</v>
      </c>
      <c r="T189">
        <v>135.19999999999999</v>
      </c>
      <c r="U189">
        <v>142</v>
      </c>
      <c r="V189">
        <v>126.4</v>
      </c>
      <c r="W189">
        <v>130.80000000000001</v>
      </c>
      <c r="X189">
        <v>130.5</v>
      </c>
      <c r="Y189">
        <v>117.8</v>
      </c>
      <c r="Z189">
        <v>126.8</v>
      </c>
      <c r="AA189">
        <v>137.80000000000001</v>
      </c>
      <c r="AB189">
        <v>126.7</v>
      </c>
      <c r="AC189">
        <v>127.1</v>
      </c>
      <c r="AD189">
        <v>134</v>
      </c>
    </row>
    <row r="190" spans="1:30" x14ac:dyDescent="0.25">
      <c r="A190" t="s">
        <v>34</v>
      </c>
      <c r="B190">
        <v>2018</v>
      </c>
      <c r="C190" t="s">
        <v>36</v>
      </c>
      <c r="D190">
        <v>136.19999999999999</v>
      </c>
      <c r="E190">
        <v>143.6</v>
      </c>
      <c r="F190">
        <v>138.30000000000001</v>
      </c>
      <c r="G190">
        <v>141.19999999999999</v>
      </c>
      <c r="H190">
        <v>120.7</v>
      </c>
      <c r="I190">
        <v>146.19999999999999</v>
      </c>
      <c r="J190">
        <v>134.6</v>
      </c>
      <c r="K190">
        <v>124.6</v>
      </c>
      <c r="L190">
        <v>116.1</v>
      </c>
      <c r="M190">
        <v>137.80000000000001</v>
      </c>
      <c r="N190">
        <v>129.1</v>
      </c>
      <c r="O190">
        <v>150.4</v>
      </c>
      <c r="P190">
        <v>137.19999999999999</v>
      </c>
      <c r="Q190">
        <v>156.30000000000001</v>
      </c>
      <c r="R190">
        <v>144.30000000000001</v>
      </c>
      <c r="S190">
        <v>136.19999999999999</v>
      </c>
      <c r="T190">
        <v>143.1</v>
      </c>
      <c r="U190">
        <v>142</v>
      </c>
      <c r="V190">
        <v>136.5</v>
      </c>
      <c r="W190">
        <v>135.6</v>
      </c>
      <c r="X190">
        <v>134.30000000000001</v>
      </c>
      <c r="Y190">
        <v>121</v>
      </c>
      <c r="Z190">
        <v>130.4</v>
      </c>
      <c r="AA190">
        <v>139.80000000000001</v>
      </c>
      <c r="AB190">
        <v>128.19999999999999</v>
      </c>
      <c r="AC190">
        <v>130.30000000000001</v>
      </c>
      <c r="AD190">
        <v>136.5</v>
      </c>
    </row>
    <row r="191" spans="1:30" x14ac:dyDescent="0.25">
      <c r="A191" t="s">
        <v>30</v>
      </c>
      <c r="B191">
        <v>2018</v>
      </c>
      <c r="C191" t="s">
        <v>37</v>
      </c>
      <c r="D191">
        <v>137.1</v>
      </c>
      <c r="E191">
        <v>144.5</v>
      </c>
      <c r="F191">
        <v>135.9</v>
      </c>
      <c r="G191">
        <v>142.4</v>
      </c>
      <c r="H191">
        <v>123.5</v>
      </c>
      <c r="I191">
        <v>156.4</v>
      </c>
      <c r="J191">
        <v>135.1</v>
      </c>
      <c r="K191">
        <v>128.4</v>
      </c>
      <c r="L191">
        <v>115.2</v>
      </c>
      <c r="M191">
        <v>137.19999999999999</v>
      </c>
      <c r="N191">
        <v>131.9</v>
      </c>
      <c r="O191">
        <v>153.80000000000001</v>
      </c>
      <c r="P191">
        <v>138.6</v>
      </c>
      <c r="Q191">
        <v>156.1</v>
      </c>
      <c r="R191">
        <v>150.1</v>
      </c>
      <c r="S191">
        <v>143.30000000000001</v>
      </c>
      <c r="T191">
        <v>149.1</v>
      </c>
      <c r="U191" t="s">
        <v>32</v>
      </c>
      <c r="V191">
        <v>143.80000000000001</v>
      </c>
      <c r="W191">
        <v>140.9</v>
      </c>
      <c r="X191">
        <v>137.6</v>
      </c>
      <c r="Y191">
        <v>125.3</v>
      </c>
      <c r="Z191">
        <v>136</v>
      </c>
      <c r="AA191">
        <v>143.69999999999999</v>
      </c>
      <c r="AB191">
        <v>130.4</v>
      </c>
      <c r="AC191">
        <v>134.19999999999999</v>
      </c>
      <c r="AD191">
        <v>139.1</v>
      </c>
    </row>
    <row r="192" spans="1:30" x14ac:dyDescent="0.25">
      <c r="A192" t="s">
        <v>33</v>
      </c>
      <c r="B192">
        <v>2018</v>
      </c>
      <c r="C192" t="s">
        <v>37</v>
      </c>
      <c r="D192">
        <v>135</v>
      </c>
      <c r="E192">
        <v>144.30000000000001</v>
      </c>
      <c r="F192">
        <v>130.80000000000001</v>
      </c>
      <c r="G192">
        <v>140.30000000000001</v>
      </c>
      <c r="H192">
        <v>116.6</v>
      </c>
      <c r="I192">
        <v>150.1</v>
      </c>
      <c r="J192">
        <v>127.6</v>
      </c>
      <c r="K192">
        <v>114</v>
      </c>
      <c r="L192">
        <v>110.6</v>
      </c>
      <c r="M192">
        <v>140.19999999999999</v>
      </c>
      <c r="N192">
        <v>126.5</v>
      </c>
      <c r="O192">
        <v>148.30000000000001</v>
      </c>
      <c r="P192">
        <v>135.69999999999999</v>
      </c>
      <c r="Q192">
        <v>159.19999999999999</v>
      </c>
      <c r="R192">
        <v>137.80000000000001</v>
      </c>
      <c r="S192">
        <v>127.4</v>
      </c>
      <c r="T192">
        <v>136.19999999999999</v>
      </c>
      <c r="U192">
        <v>142.9</v>
      </c>
      <c r="V192">
        <v>124.6</v>
      </c>
      <c r="W192">
        <v>131.80000000000001</v>
      </c>
      <c r="X192">
        <v>131.30000000000001</v>
      </c>
      <c r="Y192">
        <v>118.9</v>
      </c>
      <c r="Z192">
        <v>127.6</v>
      </c>
      <c r="AA192">
        <v>139.69999999999999</v>
      </c>
      <c r="AB192">
        <v>127.6</v>
      </c>
      <c r="AC192">
        <v>128.19999999999999</v>
      </c>
      <c r="AD192">
        <v>134.80000000000001</v>
      </c>
    </row>
    <row r="193" spans="1:30" x14ac:dyDescent="0.25">
      <c r="A193" t="s">
        <v>34</v>
      </c>
      <c r="B193">
        <v>2018</v>
      </c>
      <c r="C193" t="s">
        <v>37</v>
      </c>
      <c r="D193">
        <v>136.4</v>
      </c>
      <c r="E193">
        <v>144.4</v>
      </c>
      <c r="F193">
        <v>133.9</v>
      </c>
      <c r="G193">
        <v>141.6</v>
      </c>
      <c r="H193">
        <v>121</v>
      </c>
      <c r="I193">
        <v>153.5</v>
      </c>
      <c r="J193">
        <v>132.6</v>
      </c>
      <c r="K193">
        <v>123.5</v>
      </c>
      <c r="L193">
        <v>113.7</v>
      </c>
      <c r="M193">
        <v>138.19999999999999</v>
      </c>
      <c r="N193">
        <v>129.6</v>
      </c>
      <c r="O193">
        <v>151.19999999999999</v>
      </c>
      <c r="P193">
        <v>137.5</v>
      </c>
      <c r="Q193">
        <v>156.9</v>
      </c>
      <c r="R193">
        <v>145.30000000000001</v>
      </c>
      <c r="S193">
        <v>136.69999999999999</v>
      </c>
      <c r="T193">
        <v>144</v>
      </c>
      <c r="U193">
        <v>142.9</v>
      </c>
      <c r="V193">
        <v>136.5</v>
      </c>
      <c r="W193">
        <v>136.6</v>
      </c>
      <c r="X193">
        <v>135.19999999999999</v>
      </c>
      <c r="Y193">
        <v>121.9</v>
      </c>
      <c r="Z193">
        <v>131.30000000000001</v>
      </c>
      <c r="AA193">
        <v>141.4</v>
      </c>
      <c r="AB193">
        <v>129.19999999999999</v>
      </c>
      <c r="AC193">
        <v>131.30000000000001</v>
      </c>
      <c r="AD193">
        <v>137.1</v>
      </c>
    </row>
    <row r="194" spans="1:30" x14ac:dyDescent="0.25">
      <c r="A194" t="s">
        <v>30</v>
      </c>
      <c r="B194">
        <v>2018</v>
      </c>
      <c r="C194" t="s">
        <v>38</v>
      </c>
      <c r="D194">
        <v>137.4</v>
      </c>
      <c r="E194">
        <v>145.69999999999999</v>
      </c>
      <c r="F194">
        <v>135.5</v>
      </c>
      <c r="G194">
        <v>142.9</v>
      </c>
      <c r="H194">
        <v>123.6</v>
      </c>
      <c r="I194">
        <v>157.5</v>
      </c>
      <c r="J194">
        <v>137.80000000000001</v>
      </c>
      <c r="K194">
        <v>127.2</v>
      </c>
      <c r="L194">
        <v>111.8</v>
      </c>
      <c r="M194">
        <v>137.4</v>
      </c>
      <c r="N194">
        <v>132.19999999999999</v>
      </c>
      <c r="O194">
        <v>154.30000000000001</v>
      </c>
      <c r="P194">
        <v>139.1</v>
      </c>
      <c r="Q194">
        <v>157</v>
      </c>
      <c r="R194">
        <v>150.80000000000001</v>
      </c>
      <c r="S194">
        <v>144.1</v>
      </c>
      <c r="T194">
        <v>149.80000000000001</v>
      </c>
      <c r="U194" t="s">
        <v>32</v>
      </c>
      <c r="V194">
        <v>144.30000000000001</v>
      </c>
      <c r="W194">
        <v>141.80000000000001</v>
      </c>
      <c r="X194">
        <v>138.4</v>
      </c>
      <c r="Y194">
        <v>126.4</v>
      </c>
      <c r="Z194">
        <v>136.80000000000001</v>
      </c>
      <c r="AA194">
        <v>144.4</v>
      </c>
      <c r="AB194">
        <v>131.19999999999999</v>
      </c>
      <c r="AC194">
        <v>135.1</v>
      </c>
      <c r="AD194">
        <v>139.80000000000001</v>
      </c>
    </row>
    <row r="195" spans="1:30" x14ac:dyDescent="0.25">
      <c r="A195" t="s">
        <v>33</v>
      </c>
      <c r="B195">
        <v>2018</v>
      </c>
      <c r="C195" t="s">
        <v>38</v>
      </c>
      <c r="D195">
        <v>135</v>
      </c>
      <c r="E195">
        <v>148.19999999999999</v>
      </c>
      <c r="F195">
        <v>130.5</v>
      </c>
      <c r="G195">
        <v>140.69999999999999</v>
      </c>
      <c r="H195">
        <v>116.4</v>
      </c>
      <c r="I195">
        <v>151.30000000000001</v>
      </c>
      <c r="J195">
        <v>131.4</v>
      </c>
      <c r="K195">
        <v>112.8</v>
      </c>
      <c r="L195">
        <v>105.3</v>
      </c>
      <c r="M195">
        <v>139.6</v>
      </c>
      <c r="N195">
        <v>126.6</v>
      </c>
      <c r="O195">
        <v>148.69999999999999</v>
      </c>
      <c r="P195">
        <v>136.4</v>
      </c>
      <c r="Q195">
        <v>160.30000000000001</v>
      </c>
      <c r="R195">
        <v>138.6</v>
      </c>
      <c r="S195">
        <v>127.9</v>
      </c>
      <c r="T195">
        <v>137</v>
      </c>
      <c r="U195">
        <v>143.19999999999999</v>
      </c>
      <c r="V195">
        <v>124.7</v>
      </c>
      <c r="W195">
        <v>132.5</v>
      </c>
      <c r="X195">
        <v>132</v>
      </c>
      <c r="Y195">
        <v>119.8</v>
      </c>
      <c r="Z195">
        <v>128</v>
      </c>
      <c r="AA195">
        <v>140.4</v>
      </c>
      <c r="AB195">
        <v>128.1</v>
      </c>
      <c r="AC195">
        <v>128.9</v>
      </c>
      <c r="AD195">
        <v>135.4</v>
      </c>
    </row>
    <row r="196" spans="1:30" x14ac:dyDescent="0.25">
      <c r="A196" t="s">
        <v>34</v>
      </c>
      <c r="B196">
        <v>2018</v>
      </c>
      <c r="C196" t="s">
        <v>38</v>
      </c>
      <c r="D196">
        <v>136.6</v>
      </c>
      <c r="E196">
        <v>146.6</v>
      </c>
      <c r="F196">
        <v>133.6</v>
      </c>
      <c r="G196">
        <v>142.1</v>
      </c>
      <c r="H196">
        <v>121</v>
      </c>
      <c r="I196">
        <v>154.6</v>
      </c>
      <c r="J196">
        <v>135.6</v>
      </c>
      <c r="K196">
        <v>122.3</v>
      </c>
      <c r="L196">
        <v>109.6</v>
      </c>
      <c r="M196">
        <v>138.1</v>
      </c>
      <c r="N196">
        <v>129.9</v>
      </c>
      <c r="O196">
        <v>151.69999999999999</v>
      </c>
      <c r="P196">
        <v>138.1</v>
      </c>
      <c r="Q196">
        <v>157.9</v>
      </c>
      <c r="R196">
        <v>146</v>
      </c>
      <c r="S196">
        <v>137.4</v>
      </c>
      <c r="T196">
        <v>144.69999999999999</v>
      </c>
      <c r="U196">
        <v>143.19999999999999</v>
      </c>
      <c r="V196">
        <v>136.9</v>
      </c>
      <c r="W196">
        <v>137.4</v>
      </c>
      <c r="X196">
        <v>136</v>
      </c>
      <c r="Y196">
        <v>122.9</v>
      </c>
      <c r="Z196">
        <v>131.80000000000001</v>
      </c>
      <c r="AA196">
        <v>142.1</v>
      </c>
      <c r="AB196">
        <v>129.9</v>
      </c>
      <c r="AC196">
        <v>132.1</v>
      </c>
      <c r="AD196">
        <v>137.80000000000001</v>
      </c>
    </row>
    <row r="197" spans="1:30" x14ac:dyDescent="0.25">
      <c r="A197" t="s">
        <v>30</v>
      </c>
      <c r="B197">
        <v>2018</v>
      </c>
      <c r="C197" t="s">
        <v>39</v>
      </c>
      <c r="D197">
        <v>137.6</v>
      </c>
      <c r="E197">
        <v>148.1</v>
      </c>
      <c r="F197">
        <v>136.69999999999999</v>
      </c>
      <c r="G197">
        <v>143.19999999999999</v>
      </c>
      <c r="H197">
        <v>124</v>
      </c>
      <c r="I197">
        <v>154.1</v>
      </c>
      <c r="J197">
        <v>143.5</v>
      </c>
      <c r="K197">
        <v>126</v>
      </c>
      <c r="L197">
        <v>112.4</v>
      </c>
      <c r="M197">
        <v>137.6</v>
      </c>
      <c r="N197">
        <v>132.80000000000001</v>
      </c>
      <c r="O197">
        <v>154.30000000000001</v>
      </c>
      <c r="P197">
        <v>140</v>
      </c>
      <c r="Q197">
        <v>157.30000000000001</v>
      </c>
      <c r="R197">
        <v>151.30000000000001</v>
      </c>
      <c r="S197">
        <v>144.69999999999999</v>
      </c>
      <c r="T197">
        <v>150.30000000000001</v>
      </c>
      <c r="U197" t="s">
        <v>32</v>
      </c>
      <c r="V197">
        <v>145.1</v>
      </c>
      <c r="W197">
        <v>142.19999999999999</v>
      </c>
      <c r="X197">
        <v>138.4</v>
      </c>
      <c r="Y197">
        <v>127.4</v>
      </c>
      <c r="Z197">
        <v>137.80000000000001</v>
      </c>
      <c r="AA197">
        <v>145.1</v>
      </c>
      <c r="AB197">
        <v>131.4</v>
      </c>
      <c r="AC197">
        <v>135.6</v>
      </c>
      <c r="AD197">
        <v>140.5</v>
      </c>
    </row>
    <row r="198" spans="1:30" x14ac:dyDescent="0.25">
      <c r="A198" t="s">
        <v>33</v>
      </c>
      <c r="B198">
        <v>2018</v>
      </c>
      <c r="C198" t="s">
        <v>39</v>
      </c>
      <c r="D198">
        <v>135.30000000000001</v>
      </c>
      <c r="E198">
        <v>149.69999999999999</v>
      </c>
      <c r="F198">
        <v>133.9</v>
      </c>
      <c r="G198">
        <v>140.80000000000001</v>
      </c>
      <c r="H198">
        <v>116.6</v>
      </c>
      <c r="I198">
        <v>152.19999999999999</v>
      </c>
      <c r="J198">
        <v>144</v>
      </c>
      <c r="K198">
        <v>112.3</v>
      </c>
      <c r="L198">
        <v>108.4</v>
      </c>
      <c r="M198">
        <v>140</v>
      </c>
      <c r="N198">
        <v>126.7</v>
      </c>
      <c r="O198">
        <v>149</v>
      </c>
      <c r="P198">
        <v>138.4</v>
      </c>
      <c r="Q198">
        <v>161</v>
      </c>
      <c r="R198">
        <v>138.9</v>
      </c>
      <c r="S198">
        <v>128.69999999999999</v>
      </c>
      <c r="T198">
        <v>137.4</v>
      </c>
      <c r="U198">
        <v>142.5</v>
      </c>
      <c r="V198">
        <v>126.5</v>
      </c>
      <c r="W198">
        <v>133.1</v>
      </c>
      <c r="X198">
        <v>132.6</v>
      </c>
      <c r="Y198">
        <v>120.4</v>
      </c>
      <c r="Z198">
        <v>128.5</v>
      </c>
      <c r="AA198">
        <v>141.19999999999999</v>
      </c>
      <c r="AB198">
        <v>128.19999999999999</v>
      </c>
      <c r="AC198">
        <v>129.5</v>
      </c>
      <c r="AD198">
        <v>136.19999999999999</v>
      </c>
    </row>
    <row r="199" spans="1:30" x14ac:dyDescent="0.25">
      <c r="A199" t="s">
        <v>34</v>
      </c>
      <c r="B199">
        <v>2018</v>
      </c>
      <c r="C199" t="s">
        <v>39</v>
      </c>
      <c r="D199">
        <v>136.9</v>
      </c>
      <c r="E199">
        <v>148.69999999999999</v>
      </c>
      <c r="F199">
        <v>135.6</v>
      </c>
      <c r="G199">
        <v>142.30000000000001</v>
      </c>
      <c r="H199">
        <v>121.3</v>
      </c>
      <c r="I199">
        <v>153.19999999999999</v>
      </c>
      <c r="J199">
        <v>143.69999999999999</v>
      </c>
      <c r="K199">
        <v>121.4</v>
      </c>
      <c r="L199">
        <v>111.1</v>
      </c>
      <c r="M199">
        <v>138.4</v>
      </c>
      <c r="N199">
        <v>130.30000000000001</v>
      </c>
      <c r="O199">
        <v>151.80000000000001</v>
      </c>
      <c r="P199">
        <v>139.4</v>
      </c>
      <c r="Q199">
        <v>158.30000000000001</v>
      </c>
      <c r="R199">
        <v>146.4</v>
      </c>
      <c r="S199">
        <v>138.1</v>
      </c>
      <c r="T199">
        <v>145.19999999999999</v>
      </c>
      <c r="U199">
        <v>142.5</v>
      </c>
      <c r="V199">
        <v>138.1</v>
      </c>
      <c r="W199">
        <v>137.9</v>
      </c>
      <c r="X199">
        <v>136.19999999999999</v>
      </c>
      <c r="Y199">
        <v>123.7</v>
      </c>
      <c r="Z199">
        <v>132.6</v>
      </c>
      <c r="AA199">
        <v>142.80000000000001</v>
      </c>
      <c r="AB199">
        <v>130.1</v>
      </c>
      <c r="AC199">
        <v>132.6</v>
      </c>
      <c r="AD199">
        <v>138.5</v>
      </c>
    </row>
    <row r="200" spans="1:30" x14ac:dyDescent="0.25">
      <c r="A200" t="s">
        <v>30</v>
      </c>
      <c r="B200">
        <v>2018</v>
      </c>
      <c r="C200" t="s">
        <v>40</v>
      </c>
      <c r="D200">
        <v>138.4</v>
      </c>
      <c r="E200">
        <v>149.30000000000001</v>
      </c>
      <c r="F200">
        <v>139.30000000000001</v>
      </c>
      <c r="G200">
        <v>143.4</v>
      </c>
      <c r="H200">
        <v>124.1</v>
      </c>
      <c r="I200">
        <v>153.30000000000001</v>
      </c>
      <c r="J200">
        <v>154.19999999999999</v>
      </c>
      <c r="K200">
        <v>126.4</v>
      </c>
      <c r="L200">
        <v>114.3</v>
      </c>
      <c r="M200">
        <v>138.19999999999999</v>
      </c>
      <c r="N200">
        <v>132.80000000000001</v>
      </c>
      <c r="O200">
        <v>154.80000000000001</v>
      </c>
      <c r="P200">
        <v>142</v>
      </c>
      <c r="Q200">
        <v>156.1</v>
      </c>
      <c r="R200">
        <v>151.5</v>
      </c>
      <c r="S200">
        <v>145.1</v>
      </c>
      <c r="T200">
        <v>150.6</v>
      </c>
      <c r="U200" t="s">
        <v>32</v>
      </c>
      <c r="V200">
        <v>146.80000000000001</v>
      </c>
      <c r="W200">
        <v>143.1</v>
      </c>
      <c r="X200">
        <v>139</v>
      </c>
      <c r="Y200">
        <v>127.5</v>
      </c>
      <c r="Z200">
        <v>138.4</v>
      </c>
      <c r="AA200">
        <v>145.80000000000001</v>
      </c>
      <c r="AB200">
        <v>131.4</v>
      </c>
      <c r="AC200">
        <v>136</v>
      </c>
      <c r="AD200">
        <v>141.80000000000001</v>
      </c>
    </row>
    <row r="201" spans="1:30" x14ac:dyDescent="0.25">
      <c r="A201" t="s">
        <v>33</v>
      </c>
      <c r="B201">
        <v>2018</v>
      </c>
      <c r="C201" t="s">
        <v>40</v>
      </c>
      <c r="D201">
        <v>135.6</v>
      </c>
      <c r="E201">
        <v>148.6</v>
      </c>
      <c r="F201">
        <v>139.1</v>
      </c>
      <c r="G201">
        <v>141</v>
      </c>
      <c r="H201">
        <v>116.7</v>
      </c>
      <c r="I201">
        <v>149.69999999999999</v>
      </c>
      <c r="J201">
        <v>159.19999999999999</v>
      </c>
      <c r="K201">
        <v>112.6</v>
      </c>
      <c r="L201">
        <v>111.8</v>
      </c>
      <c r="M201">
        <v>140.30000000000001</v>
      </c>
      <c r="N201">
        <v>126.8</v>
      </c>
      <c r="O201">
        <v>149.4</v>
      </c>
      <c r="P201">
        <v>140.30000000000001</v>
      </c>
      <c r="Q201">
        <v>161.4</v>
      </c>
      <c r="R201">
        <v>139.6</v>
      </c>
      <c r="S201">
        <v>128.9</v>
      </c>
      <c r="T201">
        <v>137.9</v>
      </c>
      <c r="U201">
        <v>143.6</v>
      </c>
      <c r="V201">
        <v>128.1</v>
      </c>
      <c r="W201">
        <v>133.6</v>
      </c>
      <c r="X201">
        <v>133.6</v>
      </c>
      <c r="Y201">
        <v>120.1</v>
      </c>
      <c r="Z201">
        <v>129</v>
      </c>
      <c r="AA201">
        <v>144</v>
      </c>
      <c r="AB201">
        <v>128.19999999999999</v>
      </c>
      <c r="AC201">
        <v>130.19999999999999</v>
      </c>
      <c r="AD201">
        <v>137.5</v>
      </c>
    </row>
    <row r="202" spans="1:30" x14ac:dyDescent="0.25">
      <c r="A202" t="s">
        <v>34</v>
      </c>
      <c r="B202">
        <v>2018</v>
      </c>
      <c r="C202" t="s">
        <v>40</v>
      </c>
      <c r="D202">
        <v>137.5</v>
      </c>
      <c r="E202">
        <v>149.1</v>
      </c>
      <c r="F202">
        <v>139.19999999999999</v>
      </c>
      <c r="G202">
        <v>142.5</v>
      </c>
      <c r="H202">
        <v>121.4</v>
      </c>
      <c r="I202">
        <v>151.6</v>
      </c>
      <c r="J202">
        <v>155.9</v>
      </c>
      <c r="K202">
        <v>121.7</v>
      </c>
      <c r="L202">
        <v>113.5</v>
      </c>
      <c r="M202">
        <v>138.9</v>
      </c>
      <c r="N202">
        <v>130.30000000000001</v>
      </c>
      <c r="O202">
        <v>152.30000000000001</v>
      </c>
      <c r="P202">
        <v>141.4</v>
      </c>
      <c r="Q202">
        <v>157.5</v>
      </c>
      <c r="R202">
        <v>146.80000000000001</v>
      </c>
      <c r="S202">
        <v>138.4</v>
      </c>
      <c r="T202">
        <v>145.6</v>
      </c>
      <c r="U202">
        <v>143.6</v>
      </c>
      <c r="V202">
        <v>139.69999999999999</v>
      </c>
      <c r="W202">
        <v>138.6</v>
      </c>
      <c r="X202">
        <v>137</v>
      </c>
      <c r="Y202">
        <v>123.6</v>
      </c>
      <c r="Z202">
        <v>133.1</v>
      </c>
      <c r="AA202">
        <v>144.69999999999999</v>
      </c>
      <c r="AB202">
        <v>130.1</v>
      </c>
      <c r="AC202">
        <v>133.19999999999999</v>
      </c>
      <c r="AD202">
        <v>139.80000000000001</v>
      </c>
    </row>
    <row r="203" spans="1:30" x14ac:dyDescent="0.25">
      <c r="A203" t="s">
        <v>30</v>
      </c>
      <c r="B203">
        <v>2018</v>
      </c>
      <c r="C203" t="s">
        <v>41</v>
      </c>
      <c r="D203">
        <v>139.19999999999999</v>
      </c>
      <c r="E203">
        <v>148.80000000000001</v>
      </c>
      <c r="F203">
        <v>139.1</v>
      </c>
      <c r="G203">
        <v>143.5</v>
      </c>
      <c r="H203">
        <v>125</v>
      </c>
      <c r="I203">
        <v>154.4</v>
      </c>
      <c r="J203">
        <v>156.30000000000001</v>
      </c>
      <c r="K203">
        <v>126.8</v>
      </c>
      <c r="L203">
        <v>115.4</v>
      </c>
      <c r="M203">
        <v>138.6</v>
      </c>
      <c r="N203">
        <v>133.80000000000001</v>
      </c>
      <c r="O203">
        <v>155.19999999999999</v>
      </c>
      <c r="P203">
        <v>142.69999999999999</v>
      </c>
      <c r="Q203">
        <v>156.4</v>
      </c>
      <c r="R203">
        <v>152.1</v>
      </c>
      <c r="S203">
        <v>145.80000000000001</v>
      </c>
      <c r="T203">
        <v>151.30000000000001</v>
      </c>
      <c r="U203" t="s">
        <v>32</v>
      </c>
      <c r="V203">
        <v>147.69999999999999</v>
      </c>
      <c r="W203">
        <v>143.80000000000001</v>
      </c>
      <c r="X203">
        <v>139.4</v>
      </c>
      <c r="Y203">
        <v>128.30000000000001</v>
      </c>
      <c r="Z203">
        <v>138.6</v>
      </c>
      <c r="AA203">
        <v>146.9</v>
      </c>
      <c r="AB203">
        <v>131.30000000000001</v>
      </c>
      <c r="AC203">
        <v>136.6</v>
      </c>
      <c r="AD203">
        <v>142.5</v>
      </c>
    </row>
    <row r="204" spans="1:30" x14ac:dyDescent="0.25">
      <c r="A204" t="s">
        <v>33</v>
      </c>
      <c r="B204">
        <v>2018</v>
      </c>
      <c r="C204" t="s">
        <v>41</v>
      </c>
      <c r="D204">
        <v>136.5</v>
      </c>
      <c r="E204">
        <v>146.4</v>
      </c>
      <c r="F204">
        <v>136.6</v>
      </c>
      <c r="G204">
        <v>141.19999999999999</v>
      </c>
      <c r="H204">
        <v>117.4</v>
      </c>
      <c r="I204">
        <v>146.30000000000001</v>
      </c>
      <c r="J204">
        <v>157.30000000000001</v>
      </c>
      <c r="K204">
        <v>113.6</v>
      </c>
      <c r="L204">
        <v>113.3</v>
      </c>
      <c r="M204">
        <v>141.1</v>
      </c>
      <c r="N204">
        <v>127.4</v>
      </c>
      <c r="O204">
        <v>150.4</v>
      </c>
      <c r="P204">
        <v>140.1</v>
      </c>
      <c r="Q204">
        <v>162.1</v>
      </c>
      <c r="R204">
        <v>140</v>
      </c>
      <c r="S204">
        <v>129</v>
      </c>
      <c r="T204">
        <v>138.30000000000001</v>
      </c>
      <c r="U204">
        <v>144.6</v>
      </c>
      <c r="V204">
        <v>129.80000000000001</v>
      </c>
      <c r="W204">
        <v>134.4</v>
      </c>
      <c r="X204">
        <v>134.9</v>
      </c>
      <c r="Y204">
        <v>120.7</v>
      </c>
      <c r="Z204">
        <v>129.80000000000001</v>
      </c>
      <c r="AA204">
        <v>145.30000000000001</v>
      </c>
      <c r="AB204">
        <v>128.30000000000001</v>
      </c>
      <c r="AC204">
        <v>131</v>
      </c>
      <c r="AD204">
        <v>138</v>
      </c>
    </row>
    <row r="205" spans="1:30" x14ac:dyDescent="0.25">
      <c r="A205" t="s">
        <v>34</v>
      </c>
      <c r="B205">
        <v>2018</v>
      </c>
      <c r="C205" t="s">
        <v>41</v>
      </c>
      <c r="D205">
        <v>138.30000000000001</v>
      </c>
      <c r="E205">
        <v>148</v>
      </c>
      <c r="F205">
        <v>138.1</v>
      </c>
      <c r="G205">
        <v>142.6</v>
      </c>
      <c r="H205">
        <v>122.2</v>
      </c>
      <c r="I205">
        <v>150.6</v>
      </c>
      <c r="J205">
        <v>156.6</v>
      </c>
      <c r="K205">
        <v>122.4</v>
      </c>
      <c r="L205">
        <v>114.7</v>
      </c>
      <c r="M205">
        <v>139.4</v>
      </c>
      <c r="N205">
        <v>131.1</v>
      </c>
      <c r="O205">
        <v>153</v>
      </c>
      <c r="P205">
        <v>141.69999999999999</v>
      </c>
      <c r="Q205">
        <v>157.9</v>
      </c>
      <c r="R205">
        <v>147.30000000000001</v>
      </c>
      <c r="S205">
        <v>138.80000000000001</v>
      </c>
      <c r="T205">
        <v>146.1</v>
      </c>
      <c r="U205">
        <v>144.6</v>
      </c>
      <c r="V205">
        <v>140.9</v>
      </c>
      <c r="W205">
        <v>139.4</v>
      </c>
      <c r="X205">
        <v>137.69999999999999</v>
      </c>
      <c r="Y205">
        <v>124.3</v>
      </c>
      <c r="Z205">
        <v>133.6</v>
      </c>
      <c r="AA205">
        <v>146</v>
      </c>
      <c r="AB205">
        <v>130.1</v>
      </c>
      <c r="AC205">
        <v>133.9</v>
      </c>
      <c r="AD205">
        <v>140.4</v>
      </c>
    </row>
    <row r="206" spans="1:30" x14ac:dyDescent="0.25">
      <c r="A206" t="s">
        <v>30</v>
      </c>
      <c r="B206">
        <v>2018</v>
      </c>
      <c r="C206" t="s">
        <v>42</v>
      </c>
      <c r="D206">
        <v>139.4</v>
      </c>
      <c r="E206">
        <v>147.19999999999999</v>
      </c>
      <c r="F206">
        <v>136.6</v>
      </c>
      <c r="G206">
        <v>143.69999999999999</v>
      </c>
      <c r="H206">
        <v>124.6</v>
      </c>
      <c r="I206">
        <v>150.1</v>
      </c>
      <c r="J206">
        <v>149.4</v>
      </c>
      <c r="K206">
        <v>125.4</v>
      </c>
      <c r="L206">
        <v>114.4</v>
      </c>
      <c r="M206">
        <v>138.69999999999999</v>
      </c>
      <c r="N206">
        <v>133.1</v>
      </c>
      <c r="O206">
        <v>155.9</v>
      </c>
      <c r="P206">
        <v>141.30000000000001</v>
      </c>
      <c r="Q206">
        <v>157.69999999999999</v>
      </c>
      <c r="R206">
        <v>152.1</v>
      </c>
      <c r="S206">
        <v>146.1</v>
      </c>
      <c r="T206">
        <v>151.30000000000001</v>
      </c>
      <c r="U206" t="s">
        <v>32</v>
      </c>
      <c r="V206">
        <v>149</v>
      </c>
      <c r="W206">
        <v>144</v>
      </c>
      <c r="X206">
        <v>140</v>
      </c>
      <c r="Y206">
        <v>129.9</v>
      </c>
      <c r="Z206">
        <v>140</v>
      </c>
      <c r="AA206">
        <v>147.6</v>
      </c>
      <c r="AB206">
        <v>132</v>
      </c>
      <c r="AC206">
        <v>137.4</v>
      </c>
      <c r="AD206">
        <v>142.1</v>
      </c>
    </row>
    <row r="207" spans="1:30" x14ac:dyDescent="0.25">
      <c r="A207" t="s">
        <v>33</v>
      </c>
      <c r="B207">
        <v>2018</v>
      </c>
      <c r="C207" t="s">
        <v>42</v>
      </c>
      <c r="D207">
        <v>137</v>
      </c>
      <c r="E207">
        <v>143.1</v>
      </c>
      <c r="F207">
        <v>132.80000000000001</v>
      </c>
      <c r="G207">
        <v>141.5</v>
      </c>
      <c r="H207">
        <v>117.8</v>
      </c>
      <c r="I207">
        <v>140</v>
      </c>
      <c r="J207">
        <v>151.30000000000001</v>
      </c>
      <c r="K207">
        <v>113.5</v>
      </c>
      <c r="L207">
        <v>112.3</v>
      </c>
      <c r="M207">
        <v>141.19999999999999</v>
      </c>
      <c r="N207">
        <v>127.7</v>
      </c>
      <c r="O207">
        <v>151.30000000000001</v>
      </c>
      <c r="P207">
        <v>138.9</v>
      </c>
      <c r="Q207">
        <v>163.30000000000001</v>
      </c>
      <c r="R207">
        <v>140.80000000000001</v>
      </c>
      <c r="S207">
        <v>129.30000000000001</v>
      </c>
      <c r="T207">
        <v>139.1</v>
      </c>
      <c r="U207">
        <v>145.30000000000001</v>
      </c>
      <c r="V207">
        <v>131.19999999999999</v>
      </c>
      <c r="W207">
        <v>134.9</v>
      </c>
      <c r="X207">
        <v>135.69999999999999</v>
      </c>
      <c r="Y207">
        <v>122.5</v>
      </c>
      <c r="Z207">
        <v>130.19999999999999</v>
      </c>
      <c r="AA207">
        <v>145.19999999999999</v>
      </c>
      <c r="AB207">
        <v>129.30000000000001</v>
      </c>
      <c r="AC207">
        <v>131.9</v>
      </c>
      <c r="AD207">
        <v>138.1</v>
      </c>
    </row>
    <row r="208" spans="1:30" x14ac:dyDescent="0.25">
      <c r="A208" t="s">
        <v>34</v>
      </c>
      <c r="B208">
        <v>2018</v>
      </c>
      <c r="C208" t="s">
        <v>42</v>
      </c>
      <c r="D208">
        <v>138.6</v>
      </c>
      <c r="E208">
        <v>145.80000000000001</v>
      </c>
      <c r="F208">
        <v>135.1</v>
      </c>
      <c r="G208">
        <v>142.9</v>
      </c>
      <c r="H208">
        <v>122.1</v>
      </c>
      <c r="I208">
        <v>145.4</v>
      </c>
      <c r="J208">
        <v>150</v>
      </c>
      <c r="K208">
        <v>121.4</v>
      </c>
      <c r="L208">
        <v>113.7</v>
      </c>
      <c r="M208">
        <v>139.5</v>
      </c>
      <c r="N208">
        <v>130.80000000000001</v>
      </c>
      <c r="O208">
        <v>153.80000000000001</v>
      </c>
      <c r="P208">
        <v>140.4</v>
      </c>
      <c r="Q208">
        <v>159.19999999999999</v>
      </c>
      <c r="R208">
        <v>147.69999999999999</v>
      </c>
      <c r="S208">
        <v>139.1</v>
      </c>
      <c r="T208">
        <v>146.5</v>
      </c>
      <c r="U208">
        <v>145.30000000000001</v>
      </c>
      <c r="V208">
        <v>142.30000000000001</v>
      </c>
      <c r="W208">
        <v>139.69999999999999</v>
      </c>
      <c r="X208">
        <v>138.4</v>
      </c>
      <c r="Y208">
        <v>126</v>
      </c>
      <c r="Z208">
        <v>134.5</v>
      </c>
      <c r="AA208">
        <v>146.19999999999999</v>
      </c>
      <c r="AB208">
        <v>130.9</v>
      </c>
      <c r="AC208">
        <v>134.69999999999999</v>
      </c>
      <c r="AD208">
        <v>140.19999999999999</v>
      </c>
    </row>
    <row r="209" spans="1:30" x14ac:dyDescent="0.25">
      <c r="A209" t="s">
        <v>30</v>
      </c>
      <c r="B209">
        <v>2018</v>
      </c>
      <c r="C209" t="s">
        <v>43</v>
      </c>
      <c r="D209">
        <v>139.30000000000001</v>
      </c>
      <c r="E209">
        <v>147.6</v>
      </c>
      <c r="F209">
        <v>134.6</v>
      </c>
      <c r="G209">
        <v>141.9</v>
      </c>
      <c r="H209">
        <v>123.5</v>
      </c>
      <c r="I209">
        <v>144.5</v>
      </c>
      <c r="J209">
        <v>147.6</v>
      </c>
      <c r="K209">
        <v>121.4</v>
      </c>
      <c r="L209">
        <v>112.3</v>
      </c>
      <c r="M209">
        <v>139.5</v>
      </c>
      <c r="N209">
        <v>134.6</v>
      </c>
      <c r="O209">
        <v>155.19999999999999</v>
      </c>
      <c r="P209">
        <v>140.19999999999999</v>
      </c>
      <c r="Q209">
        <v>159.6</v>
      </c>
      <c r="R209">
        <v>150.69999999999999</v>
      </c>
      <c r="S209">
        <v>144.5</v>
      </c>
      <c r="T209">
        <v>149.80000000000001</v>
      </c>
      <c r="U209" t="s">
        <v>32</v>
      </c>
      <c r="V209">
        <v>149.69999999999999</v>
      </c>
      <c r="W209">
        <v>147.5</v>
      </c>
      <c r="X209">
        <v>144.80000000000001</v>
      </c>
      <c r="Y209">
        <v>130.80000000000001</v>
      </c>
      <c r="Z209">
        <v>140.1</v>
      </c>
      <c r="AA209">
        <v>148</v>
      </c>
      <c r="AB209">
        <v>134.4</v>
      </c>
      <c r="AC209">
        <v>139.80000000000001</v>
      </c>
      <c r="AD209">
        <v>142.19999999999999</v>
      </c>
    </row>
    <row r="210" spans="1:30" x14ac:dyDescent="0.25">
      <c r="A210" t="s">
        <v>33</v>
      </c>
      <c r="B210">
        <v>2018</v>
      </c>
      <c r="C210" t="s">
        <v>43</v>
      </c>
      <c r="D210">
        <v>137.6</v>
      </c>
      <c r="E210">
        <v>144.9</v>
      </c>
      <c r="F210">
        <v>133.5</v>
      </c>
      <c r="G210">
        <v>141.5</v>
      </c>
      <c r="H210">
        <v>118</v>
      </c>
      <c r="I210">
        <v>139.5</v>
      </c>
      <c r="J210">
        <v>153</v>
      </c>
      <c r="K210">
        <v>113.2</v>
      </c>
      <c r="L210">
        <v>112.8</v>
      </c>
      <c r="M210">
        <v>141.1</v>
      </c>
      <c r="N210">
        <v>127.6</v>
      </c>
      <c r="O210">
        <v>152</v>
      </c>
      <c r="P210">
        <v>139.4</v>
      </c>
      <c r="Q210">
        <v>164</v>
      </c>
      <c r="R210">
        <v>141.5</v>
      </c>
      <c r="S210">
        <v>129.80000000000001</v>
      </c>
      <c r="T210">
        <v>139.69999999999999</v>
      </c>
      <c r="U210">
        <v>146.30000000000001</v>
      </c>
      <c r="V210">
        <v>133.4</v>
      </c>
      <c r="W210">
        <v>135.1</v>
      </c>
      <c r="X210">
        <v>136.19999999999999</v>
      </c>
      <c r="Y210">
        <v>123.3</v>
      </c>
      <c r="Z210">
        <v>130.69999999999999</v>
      </c>
      <c r="AA210">
        <v>145.5</v>
      </c>
      <c r="AB210">
        <v>130.4</v>
      </c>
      <c r="AC210">
        <v>132.5</v>
      </c>
      <c r="AD210">
        <v>138.9</v>
      </c>
    </row>
    <row r="211" spans="1:30" x14ac:dyDescent="0.25">
      <c r="A211" t="s">
        <v>34</v>
      </c>
      <c r="B211">
        <v>2018</v>
      </c>
      <c r="C211" t="s">
        <v>43</v>
      </c>
      <c r="D211">
        <v>137.4</v>
      </c>
      <c r="E211">
        <v>149.5</v>
      </c>
      <c r="F211">
        <v>137.30000000000001</v>
      </c>
      <c r="G211">
        <v>141.9</v>
      </c>
      <c r="H211">
        <v>121.1</v>
      </c>
      <c r="I211">
        <v>142.5</v>
      </c>
      <c r="J211">
        <v>146.69999999999999</v>
      </c>
      <c r="K211">
        <v>119.1</v>
      </c>
      <c r="L211">
        <v>111.9</v>
      </c>
      <c r="M211">
        <v>141</v>
      </c>
      <c r="N211">
        <v>133.6</v>
      </c>
      <c r="O211">
        <v>154.5</v>
      </c>
      <c r="P211">
        <v>139.69999999999999</v>
      </c>
      <c r="Q211">
        <v>162.6</v>
      </c>
      <c r="R211">
        <v>148</v>
      </c>
      <c r="S211">
        <v>139.19999999999999</v>
      </c>
      <c r="T211">
        <v>146.80000000000001</v>
      </c>
      <c r="U211">
        <v>146.9</v>
      </c>
      <c r="V211">
        <v>145.30000000000001</v>
      </c>
      <c r="W211">
        <v>142.19999999999999</v>
      </c>
      <c r="X211">
        <v>142.1</v>
      </c>
      <c r="Y211">
        <v>125.5</v>
      </c>
      <c r="Z211">
        <v>136.5</v>
      </c>
      <c r="AA211">
        <v>147.80000000000001</v>
      </c>
      <c r="AB211">
        <v>132</v>
      </c>
      <c r="AC211">
        <v>136.30000000000001</v>
      </c>
      <c r="AD211">
        <v>140.80000000000001</v>
      </c>
    </row>
    <row r="212" spans="1:30" x14ac:dyDescent="0.25">
      <c r="A212" t="s">
        <v>30</v>
      </c>
      <c r="B212">
        <v>2018</v>
      </c>
      <c r="C212" t="s">
        <v>45</v>
      </c>
      <c r="D212">
        <v>137.1</v>
      </c>
      <c r="E212">
        <v>150.80000000000001</v>
      </c>
      <c r="F212">
        <v>136.69999999999999</v>
      </c>
      <c r="G212">
        <v>141.9</v>
      </c>
      <c r="H212">
        <v>122.8</v>
      </c>
      <c r="I212">
        <v>143.9</v>
      </c>
      <c r="J212">
        <v>147.5</v>
      </c>
      <c r="K212">
        <v>121</v>
      </c>
      <c r="L212">
        <v>111.6</v>
      </c>
      <c r="M212">
        <v>140.6</v>
      </c>
      <c r="N212">
        <v>137.5</v>
      </c>
      <c r="O212">
        <v>156.1</v>
      </c>
      <c r="P212">
        <v>140</v>
      </c>
      <c r="Q212">
        <v>161.9</v>
      </c>
      <c r="R212">
        <v>151.69999999999999</v>
      </c>
      <c r="S212">
        <v>145.5</v>
      </c>
      <c r="T212">
        <v>150.80000000000001</v>
      </c>
      <c r="U212" t="s">
        <v>32</v>
      </c>
      <c r="V212">
        <v>150.30000000000001</v>
      </c>
      <c r="W212">
        <v>148</v>
      </c>
      <c r="X212">
        <v>145.4</v>
      </c>
      <c r="Y212">
        <v>130.30000000000001</v>
      </c>
      <c r="Z212">
        <v>143.1</v>
      </c>
      <c r="AA212">
        <v>150.19999999999999</v>
      </c>
      <c r="AB212">
        <v>133.1</v>
      </c>
      <c r="AC212">
        <v>140.1</v>
      </c>
      <c r="AD212">
        <v>142.4</v>
      </c>
    </row>
    <row r="213" spans="1:30" x14ac:dyDescent="0.25">
      <c r="A213" t="s">
        <v>33</v>
      </c>
      <c r="B213">
        <v>2018</v>
      </c>
      <c r="C213" t="s">
        <v>45</v>
      </c>
      <c r="D213">
        <v>138.1</v>
      </c>
      <c r="E213">
        <v>146.30000000000001</v>
      </c>
      <c r="F213">
        <v>137.80000000000001</v>
      </c>
      <c r="G213">
        <v>141.6</v>
      </c>
      <c r="H213">
        <v>118.1</v>
      </c>
      <c r="I213">
        <v>141.5</v>
      </c>
      <c r="J213">
        <v>145.19999999999999</v>
      </c>
      <c r="K213">
        <v>115.3</v>
      </c>
      <c r="L213">
        <v>112.5</v>
      </c>
      <c r="M213">
        <v>141.4</v>
      </c>
      <c r="N213">
        <v>128</v>
      </c>
      <c r="O213">
        <v>152.6</v>
      </c>
      <c r="P213">
        <v>139.1</v>
      </c>
      <c r="Q213">
        <v>164.4</v>
      </c>
      <c r="R213">
        <v>142.4</v>
      </c>
      <c r="S213">
        <v>130.19999999999999</v>
      </c>
      <c r="T213">
        <v>140.5</v>
      </c>
      <c r="U213">
        <v>146.9</v>
      </c>
      <c r="V213">
        <v>136.69999999999999</v>
      </c>
      <c r="W213">
        <v>135.80000000000001</v>
      </c>
      <c r="X213">
        <v>136.80000000000001</v>
      </c>
      <c r="Y213">
        <v>121.2</v>
      </c>
      <c r="Z213">
        <v>131.30000000000001</v>
      </c>
      <c r="AA213">
        <v>146.1</v>
      </c>
      <c r="AB213">
        <v>130.5</v>
      </c>
      <c r="AC213">
        <v>132.19999999999999</v>
      </c>
      <c r="AD213">
        <v>139</v>
      </c>
    </row>
    <row r="214" spans="1:30" x14ac:dyDescent="0.25">
      <c r="A214" t="s">
        <v>34</v>
      </c>
      <c r="B214">
        <v>2018</v>
      </c>
      <c r="C214" t="s">
        <v>45</v>
      </c>
      <c r="D214">
        <v>137.4</v>
      </c>
      <c r="E214">
        <v>149.19999999999999</v>
      </c>
      <c r="F214">
        <v>137.1</v>
      </c>
      <c r="G214">
        <v>141.80000000000001</v>
      </c>
      <c r="H214">
        <v>121.1</v>
      </c>
      <c r="I214">
        <v>142.80000000000001</v>
      </c>
      <c r="J214">
        <v>146.69999999999999</v>
      </c>
      <c r="K214">
        <v>119.1</v>
      </c>
      <c r="L214">
        <v>111.9</v>
      </c>
      <c r="M214">
        <v>140.9</v>
      </c>
      <c r="N214">
        <v>133.5</v>
      </c>
      <c r="O214">
        <v>154.5</v>
      </c>
      <c r="P214">
        <v>139.69999999999999</v>
      </c>
      <c r="Q214">
        <v>162.6</v>
      </c>
      <c r="R214">
        <v>148</v>
      </c>
      <c r="S214">
        <v>139.1</v>
      </c>
      <c r="T214">
        <v>146.69999999999999</v>
      </c>
      <c r="U214">
        <v>146.9</v>
      </c>
      <c r="V214">
        <v>145.1</v>
      </c>
      <c r="W214">
        <v>142.19999999999999</v>
      </c>
      <c r="X214">
        <v>142.1</v>
      </c>
      <c r="Y214">
        <v>125.5</v>
      </c>
      <c r="Z214">
        <v>136.5</v>
      </c>
      <c r="AA214">
        <v>147.80000000000001</v>
      </c>
      <c r="AB214">
        <v>132</v>
      </c>
      <c r="AC214">
        <v>136.30000000000001</v>
      </c>
      <c r="AD214">
        <v>140.80000000000001</v>
      </c>
    </row>
    <row r="215" spans="1:30" x14ac:dyDescent="0.25">
      <c r="A215" t="s">
        <v>30</v>
      </c>
      <c r="B215">
        <v>2018</v>
      </c>
      <c r="C215" t="s">
        <v>46</v>
      </c>
      <c r="D215">
        <v>137.1</v>
      </c>
      <c r="E215">
        <v>151.9</v>
      </c>
      <c r="F215">
        <v>137.4</v>
      </c>
      <c r="G215">
        <v>142.4</v>
      </c>
      <c r="H215">
        <v>124.2</v>
      </c>
      <c r="I215">
        <v>140.19999999999999</v>
      </c>
      <c r="J215">
        <v>136.6</v>
      </c>
      <c r="K215">
        <v>120.9</v>
      </c>
      <c r="L215">
        <v>109.9</v>
      </c>
      <c r="M215">
        <v>140.19999999999999</v>
      </c>
      <c r="N215">
        <v>137.80000000000001</v>
      </c>
      <c r="O215">
        <v>156</v>
      </c>
      <c r="P215">
        <v>138.5</v>
      </c>
      <c r="Q215">
        <v>162.4</v>
      </c>
      <c r="R215">
        <v>151.6</v>
      </c>
      <c r="S215">
        <v>145.9</v>
      </c>
      <c r="T215">
        <v>150.80000000000001</v>
      </c>
      <c r="U215" t="s">
        <v>32</v>
      </c>
      <c r="V215">
        <v>149</v>
      </c>
      <c r="W215">
        <v>149.5</v>
      </c>
      <c r="X215">
        <v>149.6</v>
      </c>
      <c r="Y215">
        <v>128.9</v>
      </c>
      <c r="Z215">
        <v>143.30000000000001</v>
      </c>
      <c r="AA215">
        <v>155.1</v>
      </c>
      <c r="AB215">
        <v>133.19999999999999</v>
      </c>
      <c r="AC215">
        <v>141.6</v>
      </c>
      <c r="AD215">
        <v>141.9</v>
      </c>
    </row>
    <row r="216" spans="1:30" x14ac:dyDescent="0.25">
      <c r="A216" t="s">
        <v>33</v>
      </c>
      <c r="B216">
        <v>2018</v>
      </c>
      <c r="C216" t="s">
        <v>46</v>
      </c>
      <c r="D216">
        <v>138.5</v>
      </c>
      <c r="E216">
        <v>147.80000000000001</v>
      </c>
      <c r="F216">
        <v>141.1</v>
      </c>
      <c r="G216">
        <v>141.6</v>
      </c>
      <c r="H216">
        <v>118.1</v>
      </c>
      <c r="I216">
        <v>138.5</v>
      </c>
      <c r="J216">
        <v>132.4</v>
      </c>
      <c r="K216">
        <v>117.5</v>
      </c>
      <c r="L216">
        <v>111</v>
      </c>
      <c r="M216">
        <v>141.5</v>
      </c>
      <c r="N216">
        <v>128.1</v>
      </c>
      <c r="O216">
        <v>152.9</v>
      </c>
      <c r="P216">
        <v>137.6</v>
      </c>
      <c r="Q216">
        <v>164.6</v>
      </c>
      <c r="R216">
        <v>142.69999999999999</v>
      </c>
      <c r="S216">
        <v>130.30000000000001</v>
      </c>
      <c r="T216">
        <v>140.80000000000001</v>
      </c>
      <c r="U216">
        <v>146.5</v>
      </c>
      <c r="V216">
        <v>132.4</v>
      </c>
      <c r="W216">
        <v>136.19999999999999</v>
      </c>
      <c r="X216">
        <v>137.30000000000001</v>
      </c>
      <c r="Y216">
        <v>118.8</v>
      </c>
      <c r="Z216">
        <v>131.69999999999999</v>
      </c>
      <c r="AA216">
        <v>146.5</v>
      </c>
      <c r="AB216">
        <v>130.80000000000001</v>
      </c>
      <c r="AC216">
        <v>131.69999999999999</v>
      </c>
      <c r="AD216">
        <v>138</v>
      </c>
    </row>
    <row r="217" spans="1:30" x14ac:dyDescent="0.25">
      <c r="A217" t="s">
        <v>34</v>
      </c>
      <c r="B217">
        <v>2018</v>
      </c>
      <c r="C217" t="s">
        <v>46</v>
      </c>
      <c r="D217">
        <v>137.5</v>
      </c>
      <c r="E217">
        <v>150.5</v>
      </c>
      <c r="F217">
        <v>138.80000000000001</v>
      </c>
      <c r="G217">
        <v>142.1</v>
      </c>
      <c r="H217">
        <v>122</v>
      </c>
      <c r="I217">
        <v>139.4</v>
      </c>
      <c r="J217">
        <v>135.19999999999999</v>
      </c>
      <c r="K217">
        <v>119.8</v>
      </c>
      <c r="L217">
        <v>110.3</v>
      </c>
      <c r="M217">
        <v>140.6</v>
      </c>
      <c r="N217">
        <v>133.80000000000001</v>
      </c>
      <c r="O217">
        <v>154.6</v>
      </c>
      <c r="P217">
        <v>138.19999999999999</v>
      </c>
      <c r="Q217">
        <v>163</v>
      </c>
      <c r="R217">
        <v>148.1</v>
      </c>
      <c r="S217">
        <v>139.4</v>
      </c>
      <c r="T217">
        <v>146.80000000000001</v>
      </c>
      <c r="U217">
        <v>146.5</v>
      </c>
      <c r="V217">
        <v>142.69999999999999</v>
      </c>
      <c r="W217">
        <v>143.19999999999999</v>
      </c>
      <c r="X217">
        <v>144.9</v>
      </c>
      <c r="Y217">
        <v>123.6</v>
      </c>
      <c r="Z217">
        <v>136.80000000000001</v>
      </c>
      <c r="AA217">
        <v>150.1</v>
      </c>
      <c r="AB217">
        <v>132.19999999999999</v>
      </c>
      <c r="AC217">
        <v>136.80000000000001</v>
      </c>
      <c r="AD217">
        <v>140.1</v>
      </c>
    </row>
    <row r="218" spans="1:30" x14ac:dyDescent="0.25">
      <c r="A218" t="s">
        <v>30</v>
      </c>
      <c r="B218">
        <v>2019</v>
      </c>
      <c r="C218" t="s">
        <v>31</v>
      </c>
      <c r="D218">
        <v>136.6</v>
      </c>
      <c r="E218">
        <v>152.5</v>
      </c>
      <c r="F218">
        <v>138.19999999999999</v>
      </c>
      <c r="G218">
        <v>142.4</v>
      </c>
      <c r="H218">
        <v>123.9</v>
      </c>
      <c r="I218">
        <v>135.5</v>
      </c>
      <c r="J218">
        <v>131.69999999999999</v>
      </c>
      <c r="K218">
        <v>121.3</v>
      </c>
      <c r="L218">
        <v>108.4</v>
      </c>
      <c r="M218">
        <v>138.9</v>
      </c>
      <c r="N218">
        <v>137</v>
      </c>
      <c r="O218">
        <v>155.80000000000001</v>
      </c>
      <c r="P218">
        <v>137.4</v>
      </c>
      <c r="Q218">
        <v>162.69999999999999</v>
      </c>
      <c r="R218">
        <v>150.6</v>
      </c>
      <c r="S218">
        <v>145.1</v>
      </c>
      <c r="T218">
        <v>149.9</v>
      </c>
      <c r="U218" t="s">
        <v>32</v>
      </c>
      <c r="V218">
        <v>146.19999999999999</v>
      </c>
      <c r="W218">
        <v>150.1</v>
      </c>
      <c r="X218">
        <v>149.6</v>
      </c>
      <c r="Y218">
        <v>128.6</v>
      </c>
      <c r="Z218">
        <v>142.9</v>
      </c>
      <c r="AA218">
        <v>155.19999999999999</v>
      </c>
      <c r="AB218">
        <v>133.5</v>
      </c>
      <c r="AC218">
        <v>141.69999999999999</v>
      </c>
      <c r="AD218">
        <v>141</v>
      </c>
    </row>
    <row r="219" spans="1:30" x14ac:dyDescent="0.25">
      <c r="A219" t="s">
        <v>33</v>
      </c>
      <c r="B219">
        <v>2019</v>
      </c>
      <c r="C219" t="s">
        <v>31</v>
      </c>
      <c r="D219">
        <v>138.30000000000001</v>
      </c>
      <c r="E219">
        <v>149.4</v>
      </c>
      <c r="F219">
        <v>143.5</v>
      </c>
      <c r="G219">
        <v>141.69999999999999</v>
      </c>
      <c r="H219">
        <v>118.1</v>
      </c>
      <c r="I219">
        <v>135.19999999999999</v>
      </c>
      <c r="J219">
        <v>130.5</v>
      </c>
      <c r="K219">
        <v>118.2</v>
      </c>
      <c r="L219">
        <v>110.4</v>
      </c>
      <c r="M219">
        <v>140.4</v>
      </c>
      <c r="N219">
        <v>128.1</v>
      </c>
      <c r="O219">
        <v>153.19999999999999</v>
      </c>
      <c r="P219">
        <v>137.30000000000001</v>
      </c>
      <c r="Q219">
        <v>164.7</v>
      </c>
      <c r="R219">
        <v>143</v>
      </c>
      <c r="S219">
        <v>130.4</v>
      </c>
      <c r="T219">
        <v>141.1</v>
      </c>
      <c r="U219">
        <v>147.69999999999999</v>
      </c>
      <c r="V219">
        <v>128.6</v>
      </c>
      <c r="W219">
        <v>136.30000000000001</v>
      </c>
      <c r="X219">
        <v>137.80000000000001</v>
      </c>
      <c r="Y219">
        <v>118.6</v>
      </c>
      <c r="Z219">
        <v>131.9</v>
      </c>
      <c r="AA219">
        <v>146.6</v>
      </c>
      <c r="AB219">
        <v>131.69999999999999</v>
      </c>
      <c r="AC219">
        <v>131.80000000000001</v>
      </c>
      <c r="AD219">
        <v>138</v>
      </c>
    </row>
    <row r="220" spans="1:30" x14ac:dyDescent="0.25">
      <c r="A220" t="s">
        <v>34</v>
      </c>
      <c r="B220">
        <v>2019</v>
      </c>
      <c r="C220" t="s">
        <v>31</v>
      </c>
      <c r="D220">
        <v>137.1</v>
      </c>
      <c r="E220">
        <v>151.4</v>
      </c>
      <c r="F220">
        <v>140.19999999999999</v>
      </c>
      <c r="G220">
        <v>142.1</v>
      </c>
      <c r="H220">
        <v>121.8</v>
      </c>
      <c r="I220">
        <v>135.4</v>
      </c>
      <c r="J220">
        <v>131.30000000000001</v>
      </c>
      <c r="K220">
        <v>120.3</v>
      </c>
      <c r="L220">
        <v>109.1</v>
      </c>
      <c r="M220">
        <v>139.4</v>
      </c>
      <c r="N220">
        <v>133.30000000000001</v>
      </c>
      <c r="O220">
        <v>154.6</v>
      </c>
      <c r="P220">
        <v>137.4</v>
      </c>
      <c r="Q220">
        <v>163.19999999999999</v>
      </c>
      <c r="R220">
        <v>147.6</v>
      </c>
      <c r="S220">
        <v>139</v>
      </c>
      <c r="T220">
        <v>146.4</v>
      </c>
      <c r="U220">
        <v>147.69999999999999</v>
      </c>
      <c r="V220">
        <v>139.5</v>
      </c>
      <c r="W220">
        <v>143.6</v>
      </c>
      <c r="X220">
        <v>145.1</v>
      </c>
      <c r="Y220">
        <v>123.3</v>
      </c>
      <c r="Z220">
        <v>136.69999999999999</v>
      </c>
      <c r="AA220">
        <v>150.19999999999999</v>
      </c>
      <c r="AB220">
        <v>132.80000000000001</v>
      </c>
      <c r="AC220">
        <v>136.9</v>
      </c>
      <c r="AD220">
        <v>139.6</v>
      </c>
    </row>
    <row r="221" spans="1:30" x14ac:dyDescent="0.25">
      <c r="A221" t="s">
        <v>30</v>
      </c>
      <c r="B221">
        <v>2019</v>
      </c>
      <c r="C221" t="s">
        <v>35</v>
      </c>
      <c r="D221">
        <v>136.80000000000001</v>
      </c>
      <c r="E221">
        <v>153</v>
      </c>
      <c r="F221">
        <v>139.1</v>
      </c>
      <c r="G221">
        <v>142.5</v>
      </c>
      <c r="H221">
        <v>124.1</v>
      </c>
      <c r="I221">
        <v>135.80000000000001</v>
      </c>
      <c r="J221">
        <v>128.69999999999999</v>
      </c>
      <c r="K221">
        <v>121.5</v>
      </c>
      <c r="L221">
        <v>108.3</v>
      </c>
      <c r="M221">
        <v>139.19999999999999</v>
      </c>
      <c r="N221">
        <v>137.4</v>
      </c>
      <c r="O221">
        <v>156.19999999999999</v>
      </c>
      <c r="P221">
        <v>137.19999999999999</v>
      </c>
      <c r="Q221">
        <v>162.80000000000001</v>
      </c>
      <c r="R221">
        <v>150.5</v>
      </c>
      <c r="S221">
        <v>146.1</v>
      </c>
      <c r="T221">
        <v>149.9</v>
      </c>
      <c r="U221" t="s">
        <v>32</v>
      </c>
      <c r="V221">
        <v>145.30000000000001</v>
      </c>
      <c r="W221">
        <v>150.1</v>
      </c>
      <c r="X221">
        <v>149.9</v>
      </c>
      <c r="Y221">
        <v>129.19999999999999</v>
      </c>
      <c r="Z221">
        <v>143.4</v>
      </c>
      <c r="AA221">
        <v>155.5</v>
      </c>
      <c r="AB221">
        <v>134.9</v>
      </c>
      <c r="AC221">
        <v>142.19999999999999</v>
      </c>
      <c r="AD221">
        <v>141</v>
      </c>
    </row>
    <row r="222" spans="1:30" x14ac:dyDescent="0.25">
      <c r="A222" t="s">
        <v>33</v>
      </c>
      <c r="B222">
        <v>2019</v>
      </c>
      <c r="C222" t="s">
        <v>35</v>
      </c>
      <c r="D222">
        <v>139.4</v>
      </c>
      <c r="E222">
        <v>150.1</v>
      </c>
      <c r="F222">
        <v>145.30000000000001</v>
      </c>
      <c r="G222">
        <v>141.69999999999999</v>
      </c>
      <c r="H222">
        <v>118.4</v>
      </c>
      <c r="I222">
        <v>137</v>
      </c>
      <c r="J222">
        <v>131.6</v>
      </c>
      <c r="K222">
        <v>119.9</v>
      </c>
      <c r="L222">
        <v>110.4</v>
      </c>
      <c r="M222">
        <v>140.80000000000001</v>
      </c>
      <c r="N222">
        <v>128.30000000000001</v>
      </c>
      <c r="O222">
        <v>153.5</v>
      </c>
      <c r="P222">
        <v>138</v>
      </c>
      <c r="Q222">
        <v>164.9</v>
      </c>
      <c r="R222">
        <v>143.30000000000001</v>
      </c>
      <c r="S222">
        <v>130.80000000000001</v>
      </c>
      <c r="T222">
        <v>141.4</v>
      </c>
      <c r="U222">
        <v>148.5</v>
      </c>
      <c r="V222">
        <v>127.1</v>
      </c>
      <c r="W222">
        <v>136.6</v>
      </c>
      <c r="X222">
        <v>138.5</v>
      </c>
      <c r="Y222">
        <v>119.2</v>
      </c>
      <c r="Z222">
        <v>132.19999999999999</v>
      </c>
      <c r="AA222">
        <v>146.6</v>
      </c>
      <c r="AB222">
        <v>133</v>
      </c>
      <c r="AC222">
        <v>132.4</v>
      </c>
      <c r="AD222">
        <v>138.6</v>
      </c>
    </row>
    <row r="223" spans="1:30" x14ac:dyDescent="0.25">
      <c r="A223" t="s">
        <v>34</v>
      </c>
      <c r="B223">
        <v>2019</v>
      </c>
      <c r="C223" t="s">
        <v>35</v>
      </c>
      <c r="D223">
        <v>137.6</v>
      </c>
      <c r="E223">
        <v>152</v>
      </c>
      <c r="F223">
        <v>141.5</v>
      </c>
      <c r="G223">
        <v>142.19999999999999</v>
      </c>
      <c r="H223">
        <v>122</v>
      </c>
      <c r="I223">
        <v>136.4</v>
      </c>
      <c r="J223">
        <v>129.69999999999999</v>
      </c>
      <c r="K223">
        <v>121</v>
      </c>
      <c r="L223">
        <v>109</v>
      </c>
      <c r="M223">
        <v>139.69999999999999</v>
      </c>
      <c r="N223">
        <v>133.6</v>
      </c>
      <c r="O223">
        <v>154.9</v>
      </c>
      <c r="P223">
        <v>137.5</v>
      </c>
      <c r="Q223">
        <v>163.4</v>
      </c>
      <c r="R223">
        <v>147.69999999999999</v>
      </c>
      <c r="S223">
        <v>139.69999999999999</v>
      </c>
      <c r="T223">
        <v>146.5</v>
      </c>
      <c r="U223">
        <v>148.5</v>
      </c>
      <c r="V223">
        <v>138.4</v>
      </c>
      <c r="W223">
        <v>143.69999999999999</v>
      </c>
      <c r="X223">
        <v>145.6</v>
      </c>
      <c r="Y223">
        <v>123.9</v>
      </c>
      <c r="Z223">
        <v>137.1</v>
      </c>
      <c r="AA223">
        <v>150.30000000000001</v>
      </c>
      <c r="AB223">
        <v>134.1</v>
      </c>
      <c r="AC223">
        <v>137.4</v>
      </c>
      <c r="AD223">
        <v>139.9</v>
      </c>
    </row>
    <row r="224" spans="1:30" x14ac:dyDescent="0.25">
      <c r="A224" t="s">
        <v>30</v>
      </c>
      <c r="B224">
        <v>2019</v>
      </c>
      <c r="C224" t="s">
        <v>36</v>
      </c>
      <c r="D224">
        <v>136.9</v>
      </c>
      <c r="E224">
        <v>154.1</v>
      </c>
      <c r="F224">
        <v>138.69999999999999</v>
      </c>
      <c r="G224">
        <v>142.5</v>
      </c>
      <c r="H224">
        <v>124.1</v>
      </c>
      <c r="I224">
        <v>136.1</v>
      </c>
      <c r="J224">
        <v>128.19999999999999</v>
      </c>
      <c r="K224">
        <v>122.3</v>
      </c>
      <c r="L224">
        <v>108.3</v>
      </c>
      <c r="M224">
        <v>138.9</v>
      </c>
      <c r="N224">
        <v>137.4</v>
      </c>
      <c r="O224">
        <v>156.4</v>
      </c>
      <c r="P224">
        <v>137.30000000000001</v>
      </c>
      <c r="Q224">
        <v>162.9</v>
      </c>
      <c r="R224">
        <v>150.80000000000001</v>
      </c>
      <c r="S224">
        <v>146.1</v>
      </c>
      <c r="T224">
        <v>150.1</v>
      </c>
      <c r="U224" t="s">
        <v>32</v>
      </c>
      <c r="V224">
        <v>146.4</v>
      </c>
      <c r="W224">
        <v>150</v>
      </c>
      <c r="X224">
        <v>150.4</v>
      </c>
      <c r="Y224">
        <v>129.9</v>
      </c>
      <c r="Z224">
        <v>143.80000000000001</v>
      </c>
      <c r="AA224">
        <v>155.5</v>
      </c>
      <c r="AB224">
        <v>134</v>
      </c>
      <c r="AC224">
        <v>142.4</v>
      </c>
      <c r="AD224">
        <v>141.19999999999999</v>
      </c>
    </row>
    <row r="225" spans="1:30" x14ac:dyDescent="0.25">
      <c r="A225" t="s">
        <v>33</v>
      </c>
      <c r="B225">
        <v>2019</v>
      </c>
      <c r="C225" t="s">
        <v>36</v>
      </c>
      <c r="D225">
        <v>139.69999999999999</v>
      </c>
      <c r="E225">
        <v>151.1</v>
      </c>
      <c r="F225">
        <v>142.9</v>
      </c>
      <c r="G225">
        <v>141.9</v>
      </c>
      <c r="H225">
        <v>118.4</v>
      </c>
      <c r="I225">
        <v>139.4</v>
      </c>
      <c r="J225">
        <v>141.19999999999999</v>
      </c>
      <c r="K225">
        <v>120.7</v>
      </c>
      <c r="L225">
        <v>110.4</v>
      </c>
      <c r="M225">
        <v>140.69999999999999</v>
      </c>
      <c r="N225">
        <v>128.5</v>
      </c>
      <c r="O225">
        <v>153.9</v>
      </c>
      <c r="P225">
        <v>139.6</v>
      </c>
      <c r="Q225">
        <v>165.3</v>
      </c>
      <c r="R225">
        <v>143.5</v>
      </c>
      <c r="S225">
        <v>131.19999999999999</v>
      </c>
      <c r="T225">
        <v>141.6</v>
      </c>
      <c r="U225">
        <v>149</v>
      </c>
      <c r="V225">
        <v>128.80000000000001</v>
      </c>
      <c r="W225">
        <v>136.80000000000001</v>
      </c>
      <c r="X225">
        <v>139.19999999999999</v>
      </c>
      <c r="Y225">
        <v>119.9</v>
      </c>
      <c r="Z225">
        <v>133</v>
      </c>
      <c r="AA225">
        <v>146.69999999999999</v>
      </c>
      <c r="AB225">
        <v>132.5</v>
      </c>
      <c r="AC225">
        <v>132.80000000000001</v>
      </c>
      <c r="AD225">
        <v>139.5</v>
      </c>
    </row>
    <row r="226" spans="1:30" x14ac:dyDescent="0.25">
      <c r="A226" t="s">
        <v>34</v>
      </c>
      <c r="B226">
        <v>2019</v>
      </c>
      <c r="C226" t="s">
        <v>36</v>
      </c>
      <c r="D226">
        <v>137.80000000000001</v>
      </c>
      <c r="E226">
        <v>153</v>
      </c>
      <c r="F226">
        <v>140.30000000000001</v>
      </c>
      <c r="G226">
        <v>142.30000000000001</v>
      </c>
      <c r="H226">
        <v>122</v>
      </c>
      <c r="I226">
        <v>137.6</v>
      </c>
      <c r="J226">
        <v>132.6</v>
      </c>
      <c r="K226">
        <v>121.8</v>
      </c>
      <c r="L226">
        <v>109</v>
      </c>
      <c r="M226">
        <v>139.5</v>
      </c>
      <c r="N226">
        <v>133.69999999999999</v>
      </c>
      <c r="O226">
        <v>155.19999999999999</v>
      </c>
      <c r="P226">
        <v>138.1</v>
      </c>
      <c r="Q226">
        <v>163.5</v>
      </c>
      <c r="R226">
        <v>147.9</v>
      </c>
      <c r="S226">
        <v>139.9</v>
      </c>
      <c r="T226">
        <v>146.69999999999999</v>
      </c>
      <c r="U226">
        <v>149</v>
      </c>
      <c r="V226">
        <v>139.69999999999999</v>
      </c>
      <c r="W226">
        <v>143.80000000000001</v>
      </c>
      <c r="X226">
        <v>146.19999999999999</v>
      </c>
      <c r="Y226">
        <v>124.6</v>
      </c>
      <c r="Z226">
        <v>137.69999999999999</v>
      </c>
      <c r="AA226">
        <v>150.30000000000001</v>
      </c>
      <c r="AB226">
        <v>133.4</v>
      </c>
      <c r="AC226">
        <v>137.69999999999999</v>
      </c>
      <c r="AD226">
        <v>140.4</v>
      </c>
    </row>
    <row r="227" spans="1:30" x14ac:dyDescent="0.25">
      <c r="A227" t="s">
        <v>30</v>
      </c>
      <c r="B227">
        <v>2019</v>
      </c>
      <c r="C227" t="s">
        <v>38</v>
      </c>
      <c r="D227">
        <v>137.4</v>
      </c>
      <c r="E227">
        <v>159.5</v>
      </c>
      <c r="F227">
        <v>134.5</v>
      </c>
      <c r="G227">
        <v>142.6</v>
      </c>
      <c r="H227">
        <v>124</v>
      </c>
      <c r="I227">
        <v>143.69999999999999</v>
      </c>
      <c r="J227">
        <v>133.4</v>
      </c>
      <c r="K227">
        <v>125.1</v>
      </c>
      <c r="L227">
        <v>109.3</v>
      </c>
      <c r="M227">
        <v>139.30000000000001</v>
      </c>
      <c r="N227">
        <v>137.69999999999999</v>
      </c>
      <c r="O227">
        <v>156.4</v>
      </c>
      <c r="P227">
        <v>139.19999999999999</v>
      </c>
      <c r="Q227">
        <v>163.30000000000001</v>
      </c>
      <c r="R227">
        <v>151.30000000000001</v>
      </c>
      <c r="S227">
        <v>146.6</v>
      </c>
      <c r="T227">
        <v>150.69999999999999</v>
      </c>
      <c r="U227" t="s">
        <v>32</v>
      </c>
      <c r="V227">
        <v>146.9</v>
      </c>
      <c r="W227">
        <v>149.5</v>
      </c>
      <c r="X227">
        <v>151.30000000000001</v>
      </c>
      <c r="Y227">
        <v>130.19999999999999</v>
      </c>
      <c r="Z227">
        <v>145.9</v>
      </c>
      <c r="AA227">
        <v>156.69999999999999</v>
      </c>
      <c r="AB227">
        <v>133.9</v>
      </c>
      <c r="AC227">
        <v>142.9</v>
      </c>
      <c r="AD227">
        <v>142.4</v>
      </c>
    </row>
    <row r="228" spans="1:30" x14ac:dyDescent="0.25">
      <c r="A228" t="s">
        <v>33</v>
      </c>
      <c r="B228">
        <v>2019</v>
      </c>
      <c r="C228" t="s">
        <v>38</v>
      </c>
      <c r="D228">
        <v>140.4</v>
      </c>
      <c r="E228">
        <v>156.69999999999999</v>
      </c>
      <c r="F228">
        <v>138.30000000000001</v>
      </c>
      <c r="G228">
        <v>142.4</v>
      </c>
      <c r="H228">
        <v>118.6</v>
      </c>
      <c r="I228">
        <v>149.69999999999999</v>
      </c>
      <c r="J228">
        <v>161.6</v>
      </c>
      <c r="K228">
        <v>124.4</v>
      </c>
      <c r="L228">
        <v>111.2</v>
      </c>
      <c r="M228">
        <v>141</v>
      </c>
      <c r="N228">
        <v>128.9</v>
      </c>
      <c r="O228">
        <v>154.5</v>
      </c>
      <c r="P228">
        <v>143.80000000000001</v>
      </c>
      <c r="Q228">
        <v>166.2</v>
      </c>
      <c r="R228">
        <v>144</v>
      </c>
      <c r="S228">
        <v>131.69999999999999</v>
      </c>
      <c r="T228">
        <v>142.19999999999999</v>
      </c>
      <c r="U228">
        <v>150.1</v>
      </c>
      <c r="V228">
        <v>129.4</v>
      </c>
      <c r="W228">
        <v>137.19999999999999</v>
      </c>
      <c r="X228">
        <v>139.80000000000001</v>
      </c>
      <c r="Y228">
        <v>120.1</v>
      </c>
      <c r="Z228">
        <v>134</v>
      </c>
      <c r="AA228">
        <v>148</v>
      </c>
      <c r="AB228">
        <v>132.6</v>
      </c>
      <c r="AC228">
        <v>133.30000000000001</v>
      </c>
      <c r="AD228">
        <v>141.5</v>
      </c>
    </row>
    <row r="229" spans="1:30" x14ac:dyDescent="0.25">
      <c r="A229" t="s">
        <v>34</v>
      </c>
      <c r="B229">
        <v>2019</v>
      </c>
      <c r="C229" t="s">
        <v>38</v>
      </c>
      <c r="D229">
        <v>138.30000000000001</v>
      </c>
      <c r="E229">
        <v>158.5</v>
      </c>
      <c r="F229">
        <v>136</v>
      </c>
      <c r="G229">
        <v>142.5</v>
      </c>
      <c r="H229">
        <v>122</v>
      </c>
      <c r="I229">
        <v>146.5</v>
      </c>
      <c r="J229">
        <v>143</v>
      </c>
      <c r="K229">
        <v>124.9</v>
      </c>
      <c r="L229">
        <v>109.9</v>
      </c>
      <c r="M229">
        <v>139.9</v>
      </c>
      <c r="N229">
        <v>134</v>
      </c>
      <c r="O229">
        <v>155.5</v>
      </c>
      <c r="P229">
        <v>140.9</v>
      </c>
      <c r="Q229">
        <v>164.1</v>
      </c>
      <c r="R229">
        <v>148.4</v>
      </c>
      <c r="S229">
        <v>140.4</v>
      </c>
      <c r="T229">
        <v>147.30000000000001</v>
      </c>
      <c r="U229">
        <v>150.1</v>
      </c>
      <c r="V229">
        <v>140.30000000000001</v>
      </c>
      <c r="W229">
        <v>143.69999999999999</v>
      </c>
      <c r="X229">
        <v>146.9</v>
      </c>
      <c r="Y229">
        <v>124.9</v>
      </c>
      <c r="Z229">
        <v>139.19999999999999</v>
      </c>
      <c r="AA229">
        <v>151.6</v>
      </c>
      <c r="AB229">
        <v>133.4</v>
      </c>
      <c r="AC229">
        <v>138.19999999999999</v>
      </c>
      <c r="AD229">
        <v>142</v>
      </c>
    </row>
    <row r="230" spans="1:30" x14ac:dyDescent="0.25">
      <c r="A230" t="s">
        <v>30</v>
      </c>
      <c r="B230">
        <v>2019</v>
      </c>
      <c r="C230" t="s">
        <v>39</v>
      </c>
      <c r="D230">
        <v>137.80000000000001</v>
      </c>
      <c r="E230">
        <v>163.5</v>
      </c>
      <c r="F230">
        <v>136.19999999999999</v>
      </c>
      <c r="G230">
        <v>143.19999999999999</v>
      </c>
      <c r="H230">
        <v>124.3</v>
      </c>
      <c r="I230">
        <v>143.30000000000001</v>
      </c>
      <c r="J230">
        <v>140.6</v>
      </c>
      <c r="K230">
        <v>128.69999999999999</v>
      </c>
      <c r="L230">
        <v>110.6</v>
      </c>
      <c r="M230">
        <v>140.4</v>
      </c>
      <c r="N230">
        <v>138</v>
      </c>
      <c r="O230">
        <v>156.6</v>
      </c>
      <c r="P230">
        <v>141</v>
      </c>
      <c r="Q230">
        <v>164.2</v>
      </c>
      <c r="R230">
        <v>151.4</v>
      </c>
      <c r="S230">
        <v>146.5</v>
      </c>
      <c r="T230">
        <v>150.69999999999999</v>
      </c>
      <c r="U230" t="s">
        <v>32</v>
      </c>
      <c r="V230">
        <v>147.80000000000001</v>
      </c>
      <c r="W230">
        <v>149.6</v>
      </c>
      <c r="X230">
        <v>151.69999999999999</v>
      </c>
      <c r="Y230">
        <v>130.19999999999999</v>
      </c>
      <c r="Z230">
        <v>146.4</v>
      </c>
      <c r="AA230">
        <v>157.69999999999999</v>
      </c>
      <c r="AB230">
        <v>134.80000000000001</v>
      </c>
      <c r="AC230">
        <v>143.30000000000001</v>
      </c>
      <c r="AD230">
        <v>143.6</v>
      </c>
    </row>
    <row r="231" spans="1:30" x14ac:dyDescent="0.25">
      <c r="A231" t="s">
        <v>33</v>
      </c>
      <c r="B231">
        <v>2019</v>
      </c>
      <c r="C231" t="s">
        <v>39</v>
      </c>
      <c r="D231">
        <v>140.69999999999999</v>
      </c>
      <c r="E231">
        <v>159.6</v>
      </c>
      <c r="F231">
        <v>140.4</v>
      </c>
      <c r="G231">
        <v>143.4</v>
      </c>
      <c r="H231">
        <v>118.6</v>
      </c>
      <c r="I231">
        <v>150.9</v>
      </c>
      <c r="J231">
        <v>169.8</v>
      </c>
      <c r="K231">
        <v>127.4</v>
      </c>
      <c r="L231">
        <v>111.8</v>
      </c>
      <c r="M231">
        <v>141</v>
      </c>
      <c r="N231">
        <v>129</v>
      </c>
      <c r="O231">
        <v>155.1</v>
      </c>
      <c r="P231">
        <v>145.6</v>
      </c>
      <c r="Q231">
        <v>166.7</v>
      </c>
      <c r="R231">
        <v>144.30000000000001</v>
      </c>
      <c r="S231">
        <v>131.69999999999999</v>
      </c>
      <c r="T231">
        <v>142.4</v>
      </c>
      <c r="U231">
        <v>149.4</v>
      </c>
      <c r="V231">
        <v>130.5</v>
      </c>
      <c r="W231">
        <v>137.4</v>
      </c>
      <c r="X231">
        <v>140.30000000000001</v>
      </c>
      <c r="Y231">
        <v>119.6</v>
      </c>
      <c r="Z231">
        <v>134.30000000000001</v>
      </c>
      <c r="AA231">
        <v>148.9</v>
      </c>
      <c r="AB231">
        <v>133.69999999999999</v>
      </c>
      <c r="AC231">
        <v>133.6</v>
      </c>
      <c r="AD231">
        <v>142.1</v>
      </c>
    </row>
    <row r="232" spans="1:30" x14ac:dyDescent="0.25">
      <c r="A232" t="s">
        <v>34</v>
      </c>
      <c r="B232">
        <v>2019</v>
      </c>
      <c r="C232" t="s">
        <v>39</v>
      </c>
      <c r="D232">
        <v>138.69999999999999</v>
      </c>
      <c r="E232">
        <v>162.1</v>
      </c>
      <c r="F232">
        <v>137.80000000000001</v>
      </c>
      <c r="G232">
        <v>143.30000000000001</v>
      </c>
      <c r="H232">
        <v>122.2</v>
      </c>
      <c r="I232">
        <v>146.80000000000001</v>
      </c>
      <c r="J232">
        <v>150.5</v>
      </c>
      <c r="K232">
        <v>128.30000000000001</v>
      </c>
      <c r="L232">
        <v>111</v>
      </c>
      <c r="M232">
        <v>140.6</v>
      </c>
      <c r="N232">
        <v>134.19999999999999</v>
      </c>
      <c r="O232">
        <v>155.9</v>
      </c>
      <c r="P232">
        <v>142.69999999999999</v>
      </c>
      <c r="Q232">
        <v>164.9</v>
      </c>
      <c r="R232">
        <v>148.6</v>
      </c>
      <c r="S232">
        <v>140.4</v>
      </c>
      <c r="T232">
        <v>147.4</v>
      </c>
      <c r="U232">
        <v>149.4</v>
      </c>
      <c r="V232">
        <v>141.19999999999999</v>
      </c>
      <c r="W232">
        <v>143.80000000000001</v>
      </c>
      <c r="X232">
        <v>147.4</v>
      </c>
      <c r="Y232">
        <v>124.6</v>
      </c>
      <c r="Z232">
        <v>139.6</v>
      </c>
      <c r="AA232">
        <v>152.5</v>
      </c>
      <c r="AB232">
        <v>134.30000000000001</v>
      </c>
      <c r="AC232">
        <v>138.6</v>
      </c>
      <c r="AD232">
        <v>142.9</v>
      </c>
    </row>
    <row r="233" spans="1:30" x14ac:dyDescent="0.25">
      <c r="A233" t="s">
        <v>30</v>
      </c>
      <c r="B233">
        <v>2019</v>
      </c>
      <c r="C233" t="s">
        <v>40</v>
      </c>
      <c r="D233">
        <v>138.4</v>
      </c>
      <c r="E233">
        <v>164</v>
      </c>
      <c r="F233">
        <v>138.4</v>
      </c>
      <c r="G233">
        <v>143.9</v>
      </c>
      <c r="H233">
        <v>124.4</v>
      </c>
      <c r="I233">
        <v>146.4</v>
      </c>
      <c r="J233">
        <v>150.1</v>
      </c>
      <c r="K233">
        <v>130.6</v>
      </c>
      <c r="L233">
        <v>110.8</v>
      </c>
      <c r="M233">
        <v>141.69999999999999</v>
      </c>
      <c r="N233">
        <v>138.5</v>
      </c>
      <c r="O233">
        <v>156.69999999999999</v>
      </c>
      <c r="P233">
        <v>143</v>
      </c>
      <c r="Q233">
        <v>164.5</v>
      </c>
      <c r="R233">
        <v>151.6</v>
      </c>
      <c r="S233">
        <v>146.6</v>
      </c>
      <c r="T233">
        <v>150.9</v>
      </c>
      <c r="U233" t="s">
        <v>32</v>
      </c>
      <c r="V233">
        <v>146.80000000000001</v>
      </c>
      <c r="W233">
        <v>150</v>
      </c>
      <c r="X233">
        <v>152.19999999999999</v>
      </c>
      <c r="Y233">
        <v>131.19999999999999</v>
      </c>
      <c r="Z233">
        <v>147.5</v>
      </c>
      <c r="AA233">
        <v>159.1</v>
      </c>
      <c r="AB233">
        <v>136.1</v>
      </c>
      <c r="AC233">
        <v>144.19999999999999</v>
      </c>
      <c r="AD233">
        <v>144.9</v>
      </c>
    </row>
    <row r="234" spans="1:30" x14ac:dyDescent="0.25">
      <c r="A234" t="s">
        <v>33</v>
      </c>
      <c r="B234">
        <v>2019</v>
      </c>
      <c r="C234" t="s">
        <v>40</v>
      </c>
      <c r="D234">
        <v>141.4</v>
      </c>
      <c r="E234">
        <v>160.19999999999999</v>
      </c>
      <c r="F234">
        <v>142.5</v>
      </c>
      <c r="G234">
        <v>144.1</v>
      </c>
      <c r="H234">
        <v>119.3</v>
      </c>
      <c r="I234">
        <v>154.69999999999999</v>
      </c>
      <c r="J234">
        <v>180.1</v>
      </c>
      <c r="K234">
        <v>128.9</v>
      </c>
      <c r="L234">
        <v>111.8</v>
      </c>
      <c r="M234">
        <v>141.6</v>
      </c>
      <c r="N234">
        <v>129.5</v>
      </c>
      <c r="O234">
        <v>155.6</v>
      </c>
      <c r="P234">
        <v>147.69999999999999</v>
      </c>
      <c r="Q234">
        <v>167.2</v>
      </c>
      <c r="R234">
        <v>144.69999999999999</v>
      </c>
      <c r="S234">
        <v>131.9</v>
      </c>
      <c r="T234">
        <v>142.69999999999999</v>
      </c>
      <c r="U234">
        <v>150.6</v>
      </c>
      <c r="V234">
        <v>127</v>
      </c>
      <c r="W234">
        <v>137.69999999999999</v>
      </c>
      <c r="X234">
        <v>140.80000000000001</v>
      </c>
      <c r="Y234">
        <v>120.6</v>
      </c>
      <c r="Z234">
        <v>135</v>
      </c>
      <c r="AA234">
        <v>150.4</v>
      </c>
      <c r="AB234">
        <v>135.1</v>
      </c>
      <c r="AC234">
        <v>134.5</v>
      </c>
      <c r="AD234">
        <v>143.30000000000001</v>
      </c>
    </row>
    <row r="235" spans="1:30" x14ac:dyDescent="0.25">
      <c r="A235" t="s">
        <v>34</v>
      </c>
      <c r="B235">
        <v>2019</v>
      </c>
      <c r="C235" t="s">
        <v>40</v>
      </c>
      <c r="D235">
        <v>139.30000000000001</v>
      </c>
      <c r="E235">
        <v>162.69999999999999</v>
      </c>
      <c r="F235">
        <v>140</v>
      </c>
      <c r="G235">
        <v>144</v>
      </c>
      <c r="H235">
        <v>122.5</v>
      </c>
      <c r="I235">
        <v>150.30000000000001</v>
      </c>
      <c r="J235">
        <v>160.30000000000001</v>
      </c>
      <c r="K235">
        <v>130</v>
      </c>
      <c r="L235">
        <v>111.1</v>
      </c>
      <c r="M235">
        <v>141.69999999999999</v>
      </c>
      <c r="N235">
        <v>134.69999999999999</v>
      </c>
      <c r="O235">
        <v>156.19999999999999</v>
      </c>
      <c r="P235">
        <v>144.69999999999999</v>
      </c>
      <c r="Q235">
        <v>165.2</v>
      </c>
      <c r="R235">
        <v>148.9</v>
      </c>
      <c r="S235">
        <v>140.5</v>
      </c>
      <c r="T235">
        <v>147.6</v>
      </c>
      <c r="U235">
        <v>150.6</v>
      </c>
      <c r="V235">
        <v>139.30000000000001</v>
      </c>
      <c r="W235">
        <v>144.19999999999999</v>
      </c>
      <c r="X235">
        <v>147.9</v>
      </c>
      <c r="Y235">
        <v>125.6</v>
      </c>
      <c r="Z235">
        <v>140.5</v>
      </c>
      <c r="AA235">
        <v>154</v>
      </c>
      <c r="AB235">
        <v>135.69999999999999</v>
      </c>
      <c r="AC235">
        <v>139.5</v>
      </c>
      <c r="AD235">
        <v>144.19999999999999</v>
      </c>
    </row>
    <row r="236" spans="1:30" x14ac:dyDescent="0.25">
      <c r="A236" t="s">
        <v>30</v>
      </c>
      <c r="B236">
        <v>2019</v>
      </c>
      <c r="C236" t="s">
        <v>41</v>
      </c>
      <c r="D236">
        <v>139.19999999999999</v>
      </c>
      <c r="E236">
        <v>161.9</v>
      </c>
      <c r="F236">
        <v>137.1</v>
      </c>
      <c r="G236">
        <v>144.6</v>
      </c>
      <c r="H236">
        <v>124.7</v>
      </c>
      <c r="I236">
        <v>145.5</v>
      </c>
      <c r="J236">
        <v>156.19999999999999</v>
      </c>
      <c r="K236">
        <v>131.5</v>
      </c>
      <c r="L236">
        <v>111.7</v>
      </c>
      <c r="M236">
        <v>142.69999999999999</v>
      </c>
      <c r="N236">
        <v>138.5</v>
      </c>
      <c r="O236">
        <v>156.9</v>
      </c>
      <c r="P236">
        <v>144</v>
      </c>
      <c r="Q236">
        <v>165.1</v>
      </c>
      <c r="R236">
        <v>151.80000000000001</v>
      </c>
      <c r="S236">
        <v>146.6</v>
      </c>
      <c r="T236">
        <v>151.1</v>
      </c>
      <c r="U236" t="s">
        <v>32</v>
      </c>
      <c r="V236">
        <v>146.4</v>
      </c>
      <c r="W236">
        <v>150.19999999999999</v>
      </c>
      <c r="X236">
        <v>152.69999999999999</v>
      </c>
      <c r="Y236">
        <v>131.4</v>
      </c>
      <c r="Z236">
        <v>148</v>
      </c>
      <c r="AA236">
        <v>159.69999999999999</v>
      </c>
      <c r="AB236">
        <v>138.80000000000001</v>
      </c>
      <c r="AC236">
        <v>144.9</v>
      </c>
      <c r="AD236">
        <v>145.69999999999999</v>
      </c>
    </row>
    <row r="237" spans="1:30" x14ac:dyDescent="0.25">
      <c r="A237" t="s">
        <v>33</v>
      </c>
      <c r="B237">
        <v>2019</v>
      </c>
      <c r="C237" t="s">
        <v>41</v>
      </c>
      <c r="D237">
        <v>142.1</v>
      </c>
      <c r="E237">
        <v>158.30000000000001</v>
      </c>
      <c r="F237">
        <v>140.80000000000001</v>
      </c>
      <c r="G237">
        <v>144.9</v>
      </c>
      <c r="H237">
        <v>119.9</v>
      </c>
      <c r="I237">
        <v>153.9</v>
      </c>
      <c r="J237">
        <v>189.1</v>
      </c>
      <c r="K237">
        <v>129.80000000000001</v>
      </c>
      <c r="L237">
        <v>112.7</v>
      </c>
      <c r="M237">
        <v>142.5</v>
      </c>
      <c r="N237">
        <v>129.80000000000001</v>
      </c>
      <c r="O237">
        <v>156.19999999999999</v>
      </c>
      <c r="P237">
        <v>149.1</v>
      </c>
      <c r="Q237">
        <v>167.9</v>
      </c>
      <c r="R237">
        <v>145</v>
      </c>
      <c r="S237">
        <v>132.19999999999999</v>
      </c>
      <c r="T237">
        <v>143</v>
      </c>
      <c r="U237">
        <v>151.6</v>
      </c>
      <c r="V237">
        <v>125.5</v>
      </c>
      <c r="W237">
        <v>138.1</v>
      </c>
      <c r="X237">
        <v>141.5</v>
      </c>
      <c r="Y237">
        <v>120.8</v>
      </c>
      <c r="Z237">
        <v>135.4</v>
      </c>
      <c r="AA237">
        <v>151.5</v>
      </c>
      <c r="AB237">
        <v>137.80000000000001</v>
      </c>
      <c r="AC237">
        <v>135.30000000000001</v>
      </c>
      <c r="AD237">
        <v>144.19999999999999</v>
      </c>
    </row>
    <row r="238" spans="1:30" x14ac:dyDescent="0.25">
      <c r="A238" t="s">
        <v>34</v>
      </c>
      <c r="B238">
        <v>2019</v>
      </c>
      <c r="C238" t="s">
        <v>41</v>
      </c>
      <c r="D238">
        <v>140.1</v>
      </c>
      <c r="E238">
        <v>160.6</v>
      </c>
      <c r="F238">
        <v>138.5</v>
      </c>
      <c r="G238">
        <v>144.69999999999999</v>
      </c>
      <c r="H238">
        <v>122.9</v>
      </c>
      <c r="I238">
        <v>149.4</v>
      </c>
      <c r="J238">
        <v>167.4</v>
      </c>
      <c r="K238">
        <v>130.9</v>
      </c>
      <c r="L238">
        <v>112</v>
      </c>
      <c r="M238">
        <v>142.6</v>
      </c>
      <c r="N238">
        <v>134.9</v>
      </c>
      <c r="O238">
        <v>156.6</v>
      </c>
      <c r="P238">
        <v>145.9</v>
      </c>
      <c r="Q238">
        <v>165.8</v>
      </c>
      <c r="R238">
        <v>149.1</v>
      </c>
      <c r="S238">
        <v>140.6</v>
      </c>
      <c r="T238">
        <v>147.9</v>
      </c>
      <c r="U238">
        <v>151.6</v>
      </c>
      <c r="V238">
        <v>138.5</v>
      </c>
      <c r="W238">
        <v>144.5</v>
      </c>
      <c r="X238">
        <v>148.5</v>
      </c>
      <c r="Y238">
        <v>125.8</v>
      </c>
      <c r="Z238">
        <v>140.9</v>
      </c>
      <c r="AA238">
        <v>154.9</v>
      </c>
      <c r="AB238">
        <v>138.4</v>
      </c>
      <c r="AC238">
        <v>140.19999999999999</v>
      </c>
      <c r="AD238">
        <v>145</v>
      </c>
    </row>
    <row r="239" spans="1:30" x14ac:dyDescent="0.25">
      <c r="A239" t="s">
        <v>30</v>
      </c>
      <c r="B239">
        <v>2019</v>
      </c>
      <c r="C239" t="s">
        <v>42</v>
      </c>
      <c r="D239">
        <v>140.1</v>
      </c>
      <c r="E239">
        <v>161.9</v>
      </c>
      <c r="F239">
        <v>138.30000000000001</v>
      </c>
      <c r="G239">
        <v>145.69999999999999</v>
      </c>
      <c r="H239">
        <v>125.1</v>
      </c>
      <c r="I239">
        <v>143.80000000000001</v>
      </c>
      <c r="J239">
        <v>163.4</v>
      </c>
      <c r="K239">
        <v>132.19999999999999</v>
      </c>
      <c r="L239">
        <v>112.8</v>
      </c>
      <c r="M239">
        <v>144.19999999999999</v>
      </c>
      <c r="N239">
        <v>138.5</v>
      </c>
      <c r="O239">
        <v>157.19999999999999</v>
      </c>
      <c r="P239">
        <v>145.5</v>
      </c>
      <c r="Q239">
        <v>165.7</v>
      </c>
      <c r="R239">
        <v>151.69999999999999</v>
      </c>
      <c r="S239">
        <v>146.6</v>
      </c>
      <c r="T239">
        <v>151</v>
      </c>
      <c r="U239" t="s">
        <v>32</v>
      </c>
      <c r="V239">
        <v>146.9</v>
      </c>
      <c r="W239">
        <v>150.30000000000001</v>
      </c>
      <c r="X239">
        <v>153.4</v>
      </c>
      <c r="Y239">
        <v>131.6</v>
      </c>
      <c r="Z239">
        <v>148.30000000000001</v>
      </c>
      <c r="AA239">
        <v>160.19999999999999</v>
      </c>
      <c r="AB239">
        <v>140.19999999999999</v>
      </c>
      <c r="AC239">
        <v>145.4</v>
      </c>
      <c r="AD239">
        <v>146.69999999999999</v>
      </c>
    </row>
    <row r="240" spans="1:30" x14ac:dyDescent="0.25">
      <c r="A240" t="s">
        <v>33</v>
      </c>
      <c r="B240">
        <v>2019</v>
      </c>
      <c r="C240" t="s">
        <v>42</v>
      </c>
      <c r="D240">
        <v>142.69999999999999</v>
      </c>
      <c r="E240">
        <v>158.69999999999999</v>
      </c>
      <c r="F240">
        <v>141.6</v>
      </c>
      <c r="G240">
        <v>144.9</v>
      </c>
      <c r="H240">
        <v>120.8</v>
      </c>
      <c r="I240">
        <v>149.80000000000001</v>
      </c>
      <c r="J240">
        <v>192.4</v>
      </c>
      <c r="K240">
        <v>130.30000000000001</v>
      </c>
      <c r="L240">
        <v>114</v>
      </c>
      <c r="M240">
        <v>143.80000000000001</v>
      </c>
      <c r="N240">
        <v>130</v>
      </c>
      <c r="O240">
        <v>156.4</v>
      </c>
      <c r="P240">
        <v>149.5</v>
      </c>
      <c r="Q240">
        <v>168.6</v>
      </c>
      <c r="R240">
        <v>145.30000000000001</v>
      </c>
      <c r="S240">
        <v>132.19999999999999</v>
      </c>
      <c r="T240">
        <v>143.30000000000001</v>
      </c>
      <c r="U240">
        <v>152.19999999999999</v>
      </c>
      <c r="V240">
        <v>126.6</v>
      </c>
      <c r="W240">
        <v>138.30000000000001</v>
      </c>
      <c r="X240">
        <v>141.9</v>
      </c>
      <c r="Y240">
        <v>121.2</v>
      </c>
      <c r="Z240">
        <v>135.9</v>
      </c>
      <c r="AA240">
        <v>151.6</v>
      </c>
      <c r="AB240">
        <v>139</v>
      </c>
      <c r="AC240">
        <v>135.69999999999999</v>
      </c>
      <c r="AD240">
        <v>144.69999999999999</v>
      </c>
    </row>
    <row r="241" spans="1:30" x14ac:dyDescent="0.25">
      <c r="A241" t="s">
        <v>34</v>
      </c>
      <c r="B241">
        <v>2019</v>
      </c>
      <c r="C241" t="s">
        <v>42</v>
      </c>
      <c r="D241">
        <v>140.9</v>
      </c>
      <c r="E241">
        <v>160.80000000000001</v>
      </c>
      <c r="F241">
        <v>139.6</v>
      </c>
      <c r="G241">
        <v>145.4</v>
      </c>
      <c r="H241">
        <v>123.5</v>
      </c>
      <c r="I241">
        <v>146.6</v>
      </c>
      <c r="J241">
        <v>173.2</v>
      </c>
      <c r="K241">
        <v>131.6</v>
      </c>
      <c r="L241">
        <v>113.2</v>
      </c>
      <c r="M241">
        <v>144.1</v>
      </c>
      <c r="N241">
        <v>135</v>
      </c>
      <c r="O241">
        <v>156.80000000000001</v>
      </c>
      <c r="P241">
        <v>147</v>
      </c>
      <c r="Q241">
        <v>166.5</v>
      </c>
      <c r="R241">
        <v>149.19999999999999</v>
      </c>
      <c r="S241">
        <v>140.6</v>
      </c>
      <c r="T241">
        <v>147.9</v>
      </c>
      <c r="U241">
        <v>152.19999999999999</v>
      </c>
      <c r="V241">
        <v>139.19999999999999</v>
      </c>
      <c r="W241">
        <v>144.6</v>
      </c>
      <c r="X241">
        <v>149</v>
      </c>
      <c r="Y241">
        <v>126.1</v>
      </c>
      <c r="Z241">
        <v>141.30000000000001</v>
      </c>
      <c r="AA241">
        <v>155.19999999999999</v>
      </c>
      <c r="AB241">
        <v>139.69999999999999</v>
      </c>
      <c r="AC241">
        <v>140.69999999999999</v>
      </c>
      <c r="AD241">
        <v>145.80000000000001</v>
      </c>
    </row>
    <row r="242" spans="1:30" x14ac:dyDescent="0.25">
      <c r="A242" t="s">
        <v>30</v>
      </c>
      <c r="B242">
        <v>2019</v>
      </c>
      <c r="C242" t="s">
        <v>43</v>
      </c>
      <c r="D242">
        <v>141</v>
      </c>
      <c r="E242">
        <v>161.6</v>
      </c>
      <c r="F242">
        <v>141.19999999999999</v>
      </c>
      <c r="G242">
        <v>146.5</v>
      </c>
      <c r="H242">
        <v>125.6</v>
      </c>
      <c r="I242">
        <v>145.69999999999999</v>
      </c>
      <c r="J242">
        <v>178.8</v>
      </c>
      <c r="K242">
        <v>133.1</v>
      </c>
      <c r="L242">
        <v>113.6</v>
      </c>
      <c r="M242">
        <v>145.5</v>
      </c>
      <c r="N242">
        <v>138.6</v>
      </c>
      <c r="O242">
        <v>157.4</v>
      </c>
      <c r="P242">
        <v>148.30000000000001</v>
      </c>
      <c r="Q242">
        <v>166.3</v>
      </c>
      <c r="R242">
        <v>151.69999999999999</v>
      </c>
      <c r="S242">
        <v>146.69999999999999</v>
      </c>
      <c r="T242">
        <v>151</v>
      </c>
      <c r="U242" t="s">
        <v>32</v>
      </c>
      <c r="V242">
        <v>147.69999999999999</v>
      </c>
      <c r="W242">
        <v>150.6</v>
      </c>
      <c r="X242">
        <v>153.69999999999999</v>
      </c>
      <c r="Y242">
        <v>131.69999999999999</v>
      </c>
      <c r="Z242">
        <v>148.69999999999999</v>
      </c>
      <c r="AA242">
        <v>160.69999999999999</v>
      </c>
      <c r="AB242">
        <v>140.30000000000001</v>
      </c>
      <c r="AC242">
        <v>145.69999999999999</v>
      </c>
      <c r="AD242">
        <v>148.30000000000001</v>
      </c>
    </row>
    <row r="243" spans="1:30" x14ac:dyDescent="0.25">
      <c r="A243" t="s">
        <v>33</v>
      </c>
      <c r="B243">
        <v>2019</v>
      </c>
      <c r="C243" t="s">
        <v>43</v>
      </c>
      <c r="D243">
        <v>143.5</v>
      </c>
      <c r="E243">
        <v>159.80000000000001</v>
      </c>
      <c r="F243">
        <v>144.69999999999999</v>
      </c>
      <c r="G243">
        <v>145.6</v>
      </c>
      <c r="H243">
        <v>121.1</v>
      </c>
      <c r="I243">
        <v>150.6</v>
      </c>
      <c r="J243">
        <v>207.2</v>
      </c>
      <c r="K243">
        <v>131.19999999999999</v>
      </c>
      <c r="L243">
        <v>114.8</v>
      </c>
      <c r="M243">
        <v>145.19999999999999</v>
      </c>
      <c r="N243">
        <v>130.19999999999999</v>
      </c>
      <c r="O243">
        <v>156.80000000000001</v>
      </c>
      <c r="P243">
        <v>151.9</v>
      </c>
      <c r="Q243">
        <v>169.3</v>
      </c>
      <c r="R243">
        <v>145.9</v>
      </c>
      <c r="S243">
        <v>132.4</v>
      </c>
      <c r="T243">
        <v>143.9</v>
      </c>
      <c r="U243">
        <v>153</v>
      </c>
      <c r="V243">
        <v>128.9</v>
      </c>
      <c r="W243">
        <v>138.69999999999999</v>
      </c>
      <c r="X243">
        <v>142.4</v>
      </c>
      <c r="Y243">
        <v>121.5</v>
      </c>
      <c r="Z243">
        <v>136.19999999999999</v>
      </c>
      <c r="AA243">
        <v>151.69999999999999</v>
      </c>
      <c r="AB243">
        <v>139.5</v>
      </c>
      <c r="AC243">
        <v>136</v>
      </c>
      <c r="AD243">
        <v>146</v>
      </c>
    </row>
    <row r="244" spans="1:30" x14ac:dyDescent="0.25">
      <c r="A244" t="s">
        <v>34</v>
      </c>
      <c r="B244">
        <v>2019</v>
      </c>
      <c r="C244" t="s">
        <v>43</v>
      </c>
      <c r="D244">
        <v>141.80000000000001</v>
      </c>
      <c r="E244">
        <v>161</v>
      </c>
      <c r="F244">
        <v>142.6</v>
      </c>
      <c r="G244">
        <v>146.19999999999999</v>
      </c>
      <c r="H244">
        <v>123.9</v>
      </c>
      <c r="I244">
        <v>148</v>
      </c>
      <c r="J244">
        <v>188.4</v>
      </c>
      <c r="K244">
        <v>132.5</v>
      </c>
      <c r="L244">
        <v>114</v>
      </c>
      <c r="M244">
        <v>145.4</v>
      </c>
      <c r="N244">
        <v>135.1</v>
      </c>
      <c r="O244">
        <v>157.1</v>
      </c>
      <c r="P244">
        <v>149.6</v>
      </c>
      <c r="Q244">
        <v>167.1</v>
      </c>
      <c r="R244">
        <v>149.4</v>
      </c>
      <c r="S244">
        <v>140.80000000000001</v>
      </c>
      <c r="T244">
        <v>148.19999999999999</v>
      </c>
      <c r="U244">
        <v>153</v>
      </c>
      <c r="V244">
        <v>140.6</v>
      </c>
      <c r="W244">
        <v>145</v>
      </c>
      <c r="X244">
        <v>149.4</v>
      </c>
      <c r="Y244">
        <v>126.3</v>
      </c>
      <c r="Z244">
        <v>141.69999999999999</v>
      </c>
      <c r="AA244">
        <v>155.4</v>
      </c>
      <c r="AB244">
        <v>140</v>
      </c>
      <c r="AC244">
        <v>141</v>
      </c>
      <c r="AD244">
        <v>147.19999999999999</v>
      </c>
    </row>
    <row r="245" spans="1:30" x14ac:dyDescent="0.25">
      <c r="A245" t="s">
        <v>30</v>
      </c>
      <c r="B245">
        <v>2019</v>
      </c>
      <c r="C245" t="s">
        <v>45</v>
      </c>
      <c r="D245">
        <v>141.80000000000001</v>
      </c>
      <c r="E245">
        <v>163.69999999999999</v>
      </c>
      <c r="F245">
        <v>143.80000000000001</v>
      </c>
      <c r="G245">
        <v>147.1</v>
      </c>
      <c r="H245">
        <v>126</v>
      </c>
      <c r="I245">
        <v>146.19999999999999</v>
      </c>
      <c r="J245">
        <v>191.4</v>
      </c>
      <c r="K245">
        <v>136.19999999999999</v>
      </c>
      <c r="L245">
        <v>113.8</v>
      </c>
      <c r="M245">
        <v>147.30000000000001</v>
      </c>
      <c r="N245">
        <v>138.69999999999999</v>
      </c>
      <c r="O245">
        <v>157.69999999999999</v>
      </c>
      <c r="P245">
        <v>150.9</v>
      </c>
      <c r="Q245">
        <v>167.2</v>
      </c>
      <c r="R245">
        <v>152.30000000000001</v>
      </c>
      <c r="S245">
        <v>147</v>
      </c>
      <c r="T245">
        <v>151.5</v>
      </c>
      <c r="U245" t="s">
        <v>32</v>
      </c>
      <c r="V245">
        <v>148.4</v>
      </c>
      <c r="W245">
        <v>150.9</v>
      </c>
      <c r="X245">
        <v>154.30000000000001</v>
      </c>
      <c r="Y245">
        <v>132.1</v>
      </c>
      <c r="Z245">
        <v>149.1</v>
      </c>
      <c r="AA245">
        <v>160.80000000000001</v>
      </c>
      <c r="AB245">
        <v>140.6</v>
      </c>
      <c r="AC245">
        <v>146.1</v>
      </c>
      <c r="AD245">
        <v>149.9</v>
      </c>
    </row>
    <row r="246" spans="1:30" x14ac:dyDescent="0.25">
      <c r="A246" t="s">
        <v>33</v>
      </c>
      <c r="B246">
        <v>2019</v>
      </c>
      <c r="C246" t="s">
        <v>45</v>
      </c>
      <c r="D246">
        <v>144.1</v>
      </c>
      <c r="E246">
        <v>162.4</v>
      </c>
      <c r="F246">
        <v>148.4</v>
      </c>
      <c r="G246">
        <v>145.9</v>
      </c>
      <c r="H246">
        <v>121.5</v>
      </c>
      <c r="I246">
        <v>148.80000000000001</v>
      </c>
      <c r="J246">
        <v>215.7</v>
      </c>
      <c r="K246">
        <v>134.6</v>
      </c>
      <c r="L246">
        <v>115</v>
      </c>
      <c r="M246">
        <v>146.30000000000001</v>
      </c>
      <c r="N246">
        <v>130.5</v>
      </c>
      <c r="O246">
        <v>157.19999999999999</v>
      </c>
      <c r="P246">
        <v>153.6</v>
      </c>
      <c r="Q246">
        <v>169.9</v>
      </c>
      <c r="R246">
        <v>146.30000000000001</v>
      </c>
      <c r="S246">
        <v>132.6</v>
      </c>
      <c r="T246">
        <v>144.19999999999999</v>
      </c>
      <c r="U246">
        <v>153.5</v>
      </c>
      <c r="V246">
        <v>132.19999999999999</v>
      </c>
      <c r="W246">
        <v>139.1</v>
      </c>
      <c r="X246">
        <v>142.80000000000001</v>
      </c>
      <c r="Y246">
        <v>121.7</v>
      </c>
      <c r="Z246">
        <v>136.69999999999999</v>
      </c>
      <c r="AA246">
        <v>151.80000000000001</v>
      </c>
      <c r="AB246">
        <v>139.80000000000001</v>
      </c>
      <c r="AC246">
        <v>136.30000000000001</v>
      </c>
      <c r="AD246">
        <v>147</v>
      </c>
    </row>
    <row r="247" spans="1:30" x14ac:dyDescent="0.25">
      <c r="A247" t="s">
        <v>34</v>
      </c>
      <c r="B247">
        <v>2019</v>
      </c>
      <c r="C247" t="s">
        <v>45</v>
      </c>
      <c r="D247">
        <v>142.5</v>
      </c>
      <c r="E247">
        <v>163.19999999999999</v>
      </c>
      <c r="F247">
        <v>145.6</v>
      </c>
      <c r="G247">
        <v>146.69999999999999</v>
      </c>
      <c r="H247">
        <v>124.3</v>
      </c>
      <c r="I247">
        <v>147.4</v>
      </c>
      <c r="J247">
        <v>199.6</v>
      </c>
      <c r="K247">
        <v>135.69999999999999</v>
      </c>
      <c r="L247">
        <v>114.2</v>
      </c>
      <c r="M247">
        <v>147</v>
      </c>
      <c r="N247">
        <v>135.30000000000001</v>
      </c>
      <c r="O247">
        <v>157.5</v>
      </c>
      <c r="P247">
        <v>151.9</v>
      </c>
      <c r="Q247">
        <v>167.9</v>
      </c>
      <c r="R247">
        <v>149.9</v>
      </c>
      <c r="S247">
        <v>141</v>
      </c>
      <c r="T247">
        <v>148.6</v>
      </c>
      <c r="U247">
        <v>153.5</v>
      </c>
      <c r="V247">
        <v>142.30000000000001</v>
      </c>
      <c r="W247">
        <v>145.30000000000001</v>
      </c>
      <c r="X247">
        <v>149.9</v>
      </c>
      <c r="Y247">
        <v>126.6</v>
      </c>
      <c r="Z247">
        <v>142.1</v>
      </c>
      <c r="AA247">
        <v>155.5</v>
      </c>
      <c r="AB247">
        <v>140.30000000000001</v>
      </c>
      <c r="AC247">
        <v>141.30000000000001</v>
      </c>
      <c r="AD247">
        <v>148.6</v>
      </c>
    </row>
    <row r="248" spans="1:30" x14ac:dyDescent="0.25">
      <c r="A248" t="s">
        <v>30</v>
      </c>
      <c r="B248">
        <v>2019</v>
      </c>
      <c r="C248" t="s">
        <v>46</v>
      </c>
      <c r="D248">
        <v>142.80000000000001</v>
      </c>
      <c r="E248">
        <v>165.3</v>
      </c>
      <c r="F248">
        <v>149.5</v>
      </c>
      <c r="G248">
        <v>148.69999999999999</v>
      </c>
      <c r="H248">
        <v>127.5</v>
      </c>
      <c r="I248">
        <v>144.30000000000001</v>
      </c>
      <c r="J248">
        <v>209.5</v>
      </c>
      <c r="K248">
        <v>138.80000000000001</v>
      </c>
      <c r="L248">
        <v>113.6</v>
      </c>
      <c r="M248">
        <v>149.1</v>
      </c>
      <c r="N248">
        <v>139.30000000000001</v>
      </c>
      <c r="O248">
        <v>158.30000000000001</v>
      </c>
      <c r="P248">
        <v>154.30000000000001</v>
      </c>
      <c r="Q248">
        <v>167.8</v>
      </c>
      <c r="R248">
        <v>152.6</v>
      </c>
      <c r="S248">
        <v>147.30000000000001</v>
      </c>
      <c r="T248">
        <v>151.9</v>
      </c>
      <c r="U248" t="s">
        <v>32</v>
      </c>
      <c r="V248">
        <v>149.9</v>
      </c>
      <c r="W248">
        <v>151.19999999999999</v>
      </c>
      <c r="X248">
        <v>154.80000000000001</v>
      </c>
      <c r="Y248">
        <v>135</v>
      </c>
      <c r="Z248">
        <v>149.5</v>
      </c>
      <c r="AA248">
        <v>161.1</v>
      </c>
      <c r="AB248">
        <v>140.6</v>
      </c>
      <c r="AC248">
        <v>147.1</v>
      </c>
      <c r="AD248">
        <v>152.30000000000001</v>
      </c>
    </row>
    <row r="249" spans="1:30" x14ac:dyDescent="0.25">
      <c r="A249" t="s">
        <v>33</v>
      </c>
      <c r="B249">
        <v>2019</v>
      </c>
      <c r="C249" t="s">
        <v>46</v>
      </c>
      <c r="D249">
        <v>144.9</v>
      </c>
      <c r="E249">
        <v>164.5</v>
      </c>
      <c r="F249">
        <v>153.69999999999999</v>
      </c>
      <c r="G249">
        <v>147.5</v>
      </c>
      <c r="H249">
        <v>122.7</v>
      </c>
      <c r="I249">
        <v>147.19999999999999</v>
      </c>
      <c r="J249">
        <v>231.5</v>
      </c>
      <c r="K249">
        <v>137.19999999999999</v>
      </c>
      <c r="L249">
        <v>114.7</v>
      </c>
      <c r="M249">
        <v>148</v>
      </c>
      <c r="N249">
        <v>130.80000000000001</v>
      </c>
      <c r="O249">
        <v>157.69999999999999</v>
      </c>
      <c r="P249">
        <v>156.30000000000001</v>
      </c>
      <c r="Q249">
        <v>170.4</v>
      </c>
      <c r="R249">
        <v>146.80000000000001</v>
      </c>
      <c r="S249">
        <v>132.80000000000001</v>
      </c>
      <c r="T249">
        <v>144.6</v>
      </c>
      <c r="U249">
        <v>152.80000000000001</v>
      </c>
      <c r="V249">
        <v>133.6</v>
      </c>
      <c r="W249">
        <v>139.80000000000001</v>
      </c>
      <c r="X249">
        <v>143.19999999999999</v>
      </c>
      <c r="Y249">
        <v>125.2</v>
      </c>
      <c r="Z249">
        <v>136.80000000000001</v>
      </c>
      <c r="AA249">
        <v>151.9</v>
      </c>
      <c r="AB249">
        <v>140.19999999999999</v>
      </c>
      <c r="AC249">
        <v>137.69999999999999</v>
      </c>
      <c r="AD249">
        <v>148.30000000000001</v>
      </c>
    </row>
    <row r="250" spans="1:30" x14ac:dyDescent="0.25">
      <c r="A250" t="s">
        <v>34</v>
      </c>
      <c r="B250">
        <v>2019</v>
      </c>
      <c r="C250" t="s">
        <v>46</v>
      </c>
      <c r="D250">
        <v>143.5</v>
      </c>
      <c r="E250">
        <v>165</v>
      </c>
      <c r="F250">
        <v>151.1</v>
      </c>
      <c r="G250">
        <v>148.30000000000001</v>
      </c>
      <c r="H250">
        <v>125.7</v>
      </c>
      <c r="I250">
        <v>145.69999999999999</v>
      </c>
      <c r="J250">
        <v>217</v>
      </c>
      <c r="K250">
        <v>138.30000000000001</v>
      </c>
      <c r="L250">
        <v>114</v>
      </c>
      <c r="M250">
        <v>148.69999999999999</v>
      </c>
      <c r="N250">
        <v>135.80000000000001</v>
      </c>
      <c r="O250">
        <v>158</v>
      </c>
      <c r="P250">
        <v>155</v>
      </c>
      <c r="Q250">
        <v>168.5</v>
      </c>
      <c r="R250">
        <v>150.30000000000001</v>
      </c>
      <c r="S250">
        <v>141.30000000000001</v>
      </c>
      <c r="T250">
        <v>149</v>
      </c>
      <c r="U250">
        <v>152.80000000000001</v>
      </c>
      <c r="V250">
        <v>143.69999999999999</v>
      </c>
      <c r="W250">
        <v>145.80000000000001</v>
      </c>
      <c r="X250">
        <v>150.4</v>
      </c>
      <c r="Y250">
        <v>129.80000000000001</v>
      </c>
      <c r="Z250">
        <v>142.30000000000001</v>
      </c>
      <c r="AA250">
        <v>155.69999999999999</v>
      </c>
      <c r="AB250">
        <v>140.4</v>
      </c>
      <c r="AC250">
        <v>142.5</v>
      </c>
      <c r="AD250">
        <v>150.4</v>
      </c>
    </row>
    <row r="251" spans="1:30" x14ac:dyDescent="0.25">
      <c r="A251" t="s">
        <v>30</v>
      </c>
      <c r="B251">
        <v>2020</v>
      </c>
      <c r="C251" t="s">
        <v>31</v>
      </c>
      <c r="D251">
        <v>143.69999999999999</v>
      </c>
      <c r="E251">
        <v>167.3</v>
      </c>
      <c r="F251">
        <v>153.5</v>
      </c>
      <c r="G251">
        <v>150.5</v>
      </c>
      <c r="H251">
        <v>132</v>
      </c>
      <c r="I251">
        <v>142.19999999999999</v>
      </c>
      <c r="J251">
        <v>191.5</v>
      </c>
      <c r="K251">
        <v>141.1</v>
      </c>
      <c r="L251">
        <v>113.8</v>
      </c>
      <c r="M251">
        <v>151.6</v>
      </c>
      <c r="N251">
        <v>139.69999999999999</v>
      </c>
      <c r="O251">
        <v>158.69999999999999</v>
      </c>
      <c r="P251">
        <v>153</v>
      </c>
      <c r="Q251">
        <v>168.6</v>
      </c>
      <c r="R251">
        <v>152.80000000000001</v>
      </c>
      <c r="S251">
        <v>147.4</v>
      </c>
      <c r="T251">
        <v>152.1</v>
      </c>
      <c r="U251" t="s">
        <v>32</v>
      </c>
      <c r="V251">
        <v>150.4</v>
      </c>
      <c r="W251">
        <v>151.69999999999999</v>
      </c>
      <c r="X251">
        <v>155.69999999999999</v>
      </c>
      <c r="Y251">
        <v>136.30000000000001</v>
      </c>
      <c r="Z251">
        <v>150.1</v>
      </c>
      <c r="AA251">
        <v>161.69999999999999</v>
      </c>
      <c r="AB251">
        <v>142.5</v>
      </c>
      <c r="AC251">
        <v>148.1</v>
      </c>
      <c r="AD251">
        <v>151.9</v>
      </c>
    </row>
    <row r="252" spans="1:30" x14ac:dyDescent="0.25">
      <c r="A252" t="s">
        <v>33</v>
      </c>
      <c r="B252">
        <v>2020</v>
      </c>
      <c r="C252" t="s">
        <v>31</v>
      </c>
      <c r="D252">
        <v>145.6</v>
      </c>
      <c r="E252">
        <v>167.6</v>
      </c>
      <c r="F252">
        <v>157</v>
      </c>
      <c r="G252">
        <v>149.30000000000001</v>
      </c>
      <c r="H252">
        <v>126.3</v>
      </c>
      <c r="I252">
        <v>144.4</v>
      </c>
      <c r="J252">
        <v>207.8</v>
      </c>
      <c r="K252">
        <v>139.1</v>
      </c>
      <c r="L252">
        <v>114.8</v>
      </c>
      <c r="M252">
        <v>149.5</v>
      </c>
      <c r="N252">
        <v>131.1</v>
      </c>
      <c r="O252">
        <v>158.5</v>
      </c>
      <c r="P252">
        <v>154.4</v>
      </c>
      <c r="Q252">
        <v>170.8</v>
      </c>
      <c r="R252">
        <v>147</v>
      </c>
      <c r="S252">
        <v>133.19999999999999</v>
      </c>
      <c r="T252">
        <v>144.9</v>
      </c>
      <c r="U252">
        <v>153.9</v>
      </c>
      <c r="V252">
        <v>135.1</v>
      </c>
      <c r="W252">
        <v>140.1</v>
      </c>
      <c r="X252">
        <v>143.80000000000001</v>
      </c>
      <c r="Y252">
        <v>126.1</v>
      </c>
      <c r="Z252">
        <v>137.19999999999999</v>
      </c>
      <c r="AA252">
        <v>152.1</v>
      </c>
      <c r="AB252">
        <v>142.1</v>
      </c>
      <c r="AC252">
        <v>138.4</v>
      </c>
      <c r="AD252">
        <v>148.19999999999999</v>
      </c>
    </row>
    <row r="253" spans="1:30" x14ac:dyDescent="0.25">
      <c r="A253" t="s">
        <v>34</v>
      </c>
      <c r="B253">
        <v>2020</v>
      </c>
      <c r="C253" t="s">
        <v>31</v>
      </c>
      <c r="D253">
        <v>144.30000000000001</v>
      </c>
      <c r="E253">
        <v>167.4</v>
      </c>
      <c r="F253">
        <v>154.9</v>
      </c>
      <c r="G253">
        <v>150.1</v>
      </c>
      <c r="H253">
        <v>129.9</v>
      </c>
      <c r="I253">
        <v>143.19999999999999</v>
      </c>
      <c r="J253">
        <v>197</v>
      </c>
      <c r="K253">
        <v>140.4</v>
      </c>
      <c r="L253">
        <v>114.1</v>
      </c>
      <c r="M253">
        <v>150.9</v>
      </c>
      <c r="N253">
        <v>136.1</v>
      </c>
      <c r="O253">
        <v>158.6</v>
      </c>
      <c r="P253">
        <v>153.5</v>
      </c>
      <c r="Q253">
        <v>169.2</v>
      </c>
      <c r="R253">
        <v>150.5</v>
      </c>
      <c r="S253">
        <v>141.5</v>
      </c>
      <c r="T253">
        <v>149.19999999999999</v>
      </c>
      <c r="U253">
        <v>153.9</v>
      </c>
      <c r="V253">
        <v>144.6</v>
      </c>
      <c r="W253">
        <v>146.19999999999999</v>
      </c>
      <c r="X253">
        <v>151.19999999999999</v>
      </c>
      <c r="Y253">
        <v>130.9</v>
      </c>
      <c r="Z253">
        <v>142.80000000000001</v>
      </c>
      <c r="AA253">
        <v>156.1</v>
      </c>
      <c r="AB253">
        <v>142.30000000000001</v>
      </c>
      <c r="AC253">
        <v>143.4</v>
      </c>
      <c r="AD253">
        <v>150.19999999999999</v>
      </c>
    </row>
    <row r="254" spans="1:30" x14ac:dyDescent="0.25">
      <c r="A254" t="s">
        <v>30</v>
      </c>
      <c r="B254">
        <v>2020</v>
      </c>
      <c r="C254" t="s">
        <v>35</v>
      </c>
      <c r="D254">
        <v>144.19999999999999</v>
      </c>
      <c r="E254">
        <v>167.5</v>
      </c>
      <c r="F254">
        <v>150.9</v>
      </c>
      <c r="G254">
        <v>150.9</v>
      </c>
      <c r="H254">
        <v>133.69999999999999</v>
      </c>
      <c r="I254">
        <v>140.69999999999999</v>
      </c>
      <c r="J254">
        <v>165.1</v>
      </c>
      <c r="K254">
        <v>141.80000000000001</v>
      </c>
      <c r="L254">
        <v>113.1</v>
      </c>
      <c r="M254">
        <v>152.80000000000001</v>
      </c>
      <c r="N254">
        <v>140.1</v>
      </c>
      <c r="O254">
        <v>159.19999999999999</v>
      </c>
      <c r="P254">
        <v>149.80000000000001</v>
      </c>
      <c r="Q254">
        <v>169.4</v>
      </c>
      <c r="R254">
        <v>153</v>
      </c>
      <c r="S254">
        <v>147.5</v>
      </c>
      <c r="T254">
        <v>152.30000000000001</v>
      </c>
      <c r="U254" t="s">
        <v>32</v>
      </c>
      <c r="V254">
        <v>152.30000000000001</v>
      </c>
      <c r="W254">
        <v>151.80000000000001</v>
      </c>
      <c r="X254">
        <v>156.19999999999999</v>
      </c>
      <c r="Y254">
        <v>136</v>
      </c>
      <c r="Z254">
        <v>150.4</v>
      </c>
      <c r="AA254">
        <v>161.9</v>
      </c>
      <c r="AB254">
        <v>143.4</v>
      </c>
      <c r="AC254">
        <v>148.4</v>
      </c>
      <c r="AD254">
        <v>150.4</v>
      </c>
    </row>
    <row r="255" spans="1:30" x14ac:dyDescent="0.25">
      <c r="A255" t="s">
        <v>33</v>
      </c>
      <c r="B255">
        <v>2020</v>
      </c>
      <c r="C255" t="s">
        <v>35</v>
      </c>
      <c r="D255">
        <v>146.19999999999999</v>
      </c>
      <c r="E255">
        <v>167.6</v>
      </c>
      <c r="F255">
        <v>153.1</v>
      </c>
      <c r="G255">
        <v>150.69999999999999</v>
      </c>
      <c r="H255">
        <v>127.4</v>
      </c>
      <c r="I255">
        <v>143.1</v>
      </c>
      <c r="J255">
        <v>181.7</v>
      </c>
      <c r="K255">
        <v>139.6</v>
      </c>
      <c r="L255">
        <v>114.6</v>
      </c>
      <c r="M255">
        <v>150.4</v>
      </c>
      <c r="N255">
        <v>131.5</v>
      </c>
      <c r="O255">
        <v>159</v>
      </c>
      <c r="P255">
        <v>151.69999999999999</v>
      </c>
      <c r="Q255">
        <v>172</v>
      </c>
      <c r="R255">
        <v>147.30000000000001</v>
      </c>
      <c r="S255">
        <v>133.5</v>
      </c>
      <c r="T255">
        <v>145.19999999999999</v>
      </c>
      <c r="U255">
        <v>154.80000000000001</v>
      </c>
      <c r="V255">
        <v>138.9</v>
      </c>
      <c r="W255">
        <v>140.4</v>
      </c>
      <c r="X255">
        <v>144.4</v>
      </c>
      <c r="Y255">
        <v>125.2</v>
      </c>
      <c r="Z255">
        <v>137.69999999999999</v>
      </c>
      <c r="AA255">
        <v>152.19999999999999</v>
      </c>
      <c r="AB255">
        <v>143.5</v>
      </c>
      <c r="AC255">
        <v>138.4</v>
      </c>
      <c r="AD255">
        <v>147.69999999999999</v>
      </c>
    </row>
    <row r="256" spans="1:30" x14ac:dyDescent="0.25">
      <c r="A256" t="s">
        <v>34</v>
      </c>
      <c r="B256">
        <v>2020</v>
      </c>
      <c r="C256" t="s">
        <v>35</v>
      </c>
      <c r="D256">
        <v>144.80000000000001</v>
      </c>
      <c r="E256">
        <v>167.5</v>
      </c>
      <c r="F256">
        <v>151.80000000000001</v>
      </c>
      <c r="G256">
        <v>150.80000000000001</v>
      </c>
      <c r="H256">
        <v>131.4</v>
      </c>
      <c r="I256">
        <v>141.80000000000001</v>
      </c>
      <c r="J256">
        <v>170.7</v>
      </c>
      <c r="K256">
        <v>141.1</v>
      </c>
      <c r="L256">
        <v>113.6</v>
      </c>
      <c r="M256">
        <v>152</v>
      </c>
      <c r="N256">
        <v>136.5</v>
      </c>
      <c r="O256">
        <v>159.1</v>
      </c>
      <c r="P256">
        <v>150.5</v>
      </c>
      <c r="Q256">
        <v>170.1</v>
      </c>
      <c r="R256">
        <v>150.80000000000001</v>
      </c>
      <c r="S256">
        <v>141.69999999999999</v>
      </c>
      <c r="T256">
        <v>149.5</v>
      </c>
      <c r="U256">
        <v>154.80000000000001</v>
      </c>
      <c r="V256">
        <v>147.19999999999999</v>
      </c>
      <c r="W256">
        <v>146.4</v>
      </c>
      <c r="X256">
        <v>151.69999999999999</v>
      </c>
      <c r="Y256">
        <v>130.30000000000001</v>
      </c>
      <c r="Z256">
        <v>143.19999999999999</v>
      </c>
      <c r="AA256">
        <v>156.19999999999999</v>
      </c>
      <c r="AB256">
        <v>143.4</v>
      </c>
      <c r="AC256">
        <v>143.6</v>
      </c>
      <c r="AD256">
        <v>149.1</v>
      </c>
    </row>
    <row r="257" spans="1:30" x14ac:dyDescent="0.25">
      <c r="A257" t="s">
        <v>30</v>
      </c>
      <c r="B257">
        <v>2020</v>
      </c>
      <c r="C257" t="s">
        <v>36</v>
      </c>
      <c r="D257">
        <v>144.4</v>
      </c>
      <c r="E257">
        <v>166.8</v>
      </c>
      <c r="F257">
        <v>147.6</v>
      </c>
      <c r="G257">
        <v>151.69999999999999</v>
      </c>
      <c r="H257">
        <v>133.30000000000001</v>
      </c>
      <c r="I257">
        <v>141.80000000000001</v>
      </c>
      <c r="J257">
        <v>152.30000000000001</v>
      </c>
      <c r="K257">
        <v>141.80000000000001</v>
      </c>
      <c r="L257">
        <v>112.6</v>
      </c>
      <c r="M257">
        <v>154</v>
      </c>
      <c r="N257">
        <v>140.1</v>
      </c>
      <c r="O257">
        <v>160</v>
      </c>
      <c r="P257">
        <v>148.19999999999999</v>
      </c>
      <c r="Q257">
        <v>170.5</v>
      </c>
      <c r="R257">
        <v>153.4</v>
      </c>
      <c r="S257">
        <v>147.6</v>
      </c>
      <c r="T257">
        <v>152.5</v>
      </c>
      <c r="U257" t="s">
        <v>32</v>
      </c>
      <c r="V257">
        <v>153.4</v>
      </c>
      <c r="W257">
        <v>151.5</v>
      </c>
      <c r="X257">
        <v>156.69999999999999</v>
      </c>
      <c r="Y257">
        <v>135.80000000000001</v>
      </c>
      <c r="Z257">
        <v>151.19999999999999</v>
      </c>
      <c r="AA257">
        <v>161.19999999999999</v>
      </c>
      <c r="AB257">
        <v>145.1</v>
      </c>
      <c r="AC257">
        <v>148.6</v>
      </c>
      <c r="AD257">
        <v>149.80000000000001</v>
      </c>
    </row>
    <row r="258" spans="1:30" x14ac:dyDescent="0.25">
      <c r="A258" t="s">
        <v>33</v>
      </c>
      <c r="B258">
        <v>2020</v>
      </c>
      <c r="C258" t="s">
        <v>36</v>
      </c>
      <c r="D258">
        <v>146.5</v>
      </c>
      <c r="E258">
        <v>167.5</v>
      </c>
      <c r="F258">
        <v>148.9</v>
      </c>
      <c r="G258">
        <v>151.1</v>
      </c>
      <c r="H258">
        <v>127.5</v>
      </c>
      <c r="I258">
        <v>143.30000000000001</v>
      </c>
      <c r="J258">
        <v>167</v>
      </c>
      <c r="K258">
        <v>139.69999999999999</v>
      </c>
      <c r="L258">
        <v>114.4</v>
      </c>
      <c r="M258">
        <v>151.5</v>
      </c>
      <c r="N258">
        <v>131.9</v>
      </c>
      <c r="O258">
        <v>159.1</v>
      </c>
      <c r="P258">
        <v>150.1</v>
      </c>
      <c r="Q258">
        <v>173.3</v>
      </c>
      <c r="R258">
        <v>147.69999999999999</v>
      </c>
      <c r="S258">
        <v>133.80000000000001</v>
      </c>
      <c r="T258">
        <v>145.6</v>
      </c>
      <c r="U258">
        <v>154.5</v>
      </c>
      <c r="V258">
        <v>141.4</v>
      </c>
      <c r="W258">
        <v>140.80000000000001</v>
      </c>
      <c r="X258">
        <v>145</v>
      </c>
      <c r="Y258">
        <v>124.6</v>
      </c>
      <c r="Z258">
        <v>137.9</v>
      </c>
      <c r="AA258">
        <v>152.5</v>
      </c>
      <c r="AB258">
        <v>145.30000000000001</v>
      </c>
      <c r="AC258">
        <v>138.69999999999999</v>
      </c>
      <c r="AD258">
        <v>147.30000000000001</v>
      </c>
    </row>
    <row r="259" spans="1:30" x14ac:dyDescent="0.25">
      <c r="A259" t="s">
        <v>34</v>
      </c>
      <c r="B259">
        <v>2020</v>
      </c>
      <c r="C259" t="s">
        <v>36</v>
      </c>
      <c r="D259">
        <v>145.1</v>
      </c>
      <c r="E259">
        <v>167</v>
      </c>
      <c r="F259">
        <v>148.1</v>
      </c>
      <c r="G259">
        <v>151.5</v>
      </c>
      <c r="H259">
        <v>131.19999999999999</v>
      </c>
      <c r="I259">
        <v>142.5</v>
      </c>
      <c r="J259">
        <v>157.30000000000001</v>
      </c>
      <c r="K259">
        <v>141.1</v>
      </c>
      <c r="L259">
        <v>113.2</v>
      </c>
      <c r="M259">
        <v>153.19999999999999</v>
      </c>
      <c r="N259">
        <v>136.69999999999999</v>
      </c>
      <c r="O259">
        <v>159.6</v>
      </c>
      <c r="P259">
        <v>148.9</v>
      </c>
      <c r="Q259">
        <v>171.2</v>
      </c>
      <c r="R259">
        <v>151.19999999999999</v>
      </c>
      <c r="S259">
        <v>141.9</v>
      </c>
      <c r="T259">
        <v>149.80000000000001</v>
      </c>
      <c r="U259">
        <v>154.5</v>
      </c>
      <c r="V259">
        <v>148.9</v>
      </c>
      <c r="W259">
        <v>146.4</v>
      </c>
      <c r="X259">
        <v>152.30000000000001</v>
      </c>
      <c r="Y259">
        <v>129.9</v>
      </c>
      <c r="Z259">
        <v>143.69999999999999</v>
      </c>
      <c r="AA259">
        <v>156.1</v>
      </c>
      <c r="AB259">
        <v>145.19999999999999</v>
      </c>
      <c r="AC259">
        <v>143.80000000000001</v>
      </c>
      <c r="AD259">
        <v>148.6</v>
      </c>
    </row>
    <row r="260" spans="1:30" x14ac:dyDescent="0.25">
      <c r="A260" t="s">
        <v>30</v>
      </c>
      <c r="B260">
        <v>2020</v>
      </c>
      <c r="C260" t="s">
        <v>37</v>
      </c>
      <c r="D260">
        <v>147.19999999999999</v>
      </c>
      <c r="E260" t="s">
        <v>32</v>
      </c>
      <c r="F260">
        <v>146.9</v>
      </c>
      <c r="G260">
        <v>155.6</v>
      </c>
      <c r="H260">
        <v>137.1</v>
      </c>
      <c r="I260">
        <v>147.30000000000001</v>
      </c>
      <c r="J260">
        <v>162.69999999999999</v>
      </c>
      <c r="K260">
        <v>150.19999999999999</v>
      </c>
      <c r="L260">
        <v>119.8</v>
      </c>
      <c r="M260">
        <v>158.69999999999999</v>
      </c>
      <c r="N260">
        <v>139.19999999999999</v>
      </c>
      <c r="O260" t="s">
        <v>32</v>
      </c>
      <c r="P260">
        <v>150.1</v>
      </c>
      <c r="Q260" t="s">
        <v>32</v>
      </c>
      <c r="R260" t="s">
        <v>32</v>
      </c>
      <c r="S260" t="s">
        <v>32</v>
      </c>
      <c r="T260" t="s">
        <v>32</v>
      </c>
      <c r="U260" t="s">
        <v>32</v>
      </c>
      <c r="V260">
        <v>148.4</v>
      </c>
      <c r="W260" t="s">
        <v>32</v>
      </c>
      <c r="X260">
        <v>154.30000000000001</v>
      </c>
      <c r="Y260" t="s">
        <v>32</v>
      </c>
      <c r="Z260" t="s">
        <v>32</v>
      </c>
      <c r="AA260" t="s">
        <v>32</v>
      </c>
      <c r="AB260" t="s">
        <v>32</v>
      </c>
      <c r="AC260" t="s">
        <v>32</v>
      </c>
      <c r="AD260" t="s">
        <v>32</v>
      </c>
    </row>
    <row r="261" spans="1:30" x14ac:dyDescent="0.25">
      <c r="A261" t="s">
        <v>33</v>
      </c>
      <c r="B261">
        <v>2020</v>
      </c>
      <c r="C261" t="s">
        <v>37</v>
      </c>
      <c r="D261">
        <v>151.80000000000001</v>
      </c>
      <c r="E261" t="s">
        <v>32</v>
      </c>
      <c r="F261">
        <v>151.9</v>
      </c>
      <c r="G261">
        <v>155.5</v>
      </c>
      <c r="H261">
        <v>131.6</v>
      </c>
      <c r="I261">
        <v>152.9</v>
      </c>
      <c r="J261">
        <v>180</v>
      </c>
      <c r="K261">
        <v>150.80000000000001</v>
      </c>
      <c r="L261">
        <v>121.2</v>
      </c>
      <c r="M261">
        <v>154</v>
      </c>
      <c r="N261">
        <v>133.5</v>
      </c>
      <c r="O261" t="s">
        <v>32</v>
      </c>
      <c r="P261">
        <v>153.5</v>
      </c>
      <c r="Q261" t="s">
        <v>32</v>
      </c>
      <c r="R261" t="s">
        <v>32</v>
      </c>
      <c r="S261" t="s">
        <v>32</v>
      </c>
      <c r="T261" t="s">
        <v>32</v>
      </c>
      <c r="U261">
        <v>155.6</v>
      </c>
      <c r="V261">
        <v>137.1</v>
      </c>
      <c r="W261" t="s">
        <v>32</v>
      </c>
      <c r="X261">
        <v>144.80000000000001</v>
      </c>
      <c r="Y261" t="s">
        <v>32</v>
      </c>
      <c r="Z261" t="s">
        <v>32</v>
      </c>
      <c r="AA261" t="s">
        <v>32</v>
      </c>
      <c r="AB261" t="s">
        <v>32</v>
      </c>
      <c r="AC261" t="s">
        <v>32</v>
      </c>
      <c r="AD261" t="s">
        <v>32</v>
      </c>
    </row>
    <row r="262" spans="1:30" x14ac:dyDescent="0.25">
      <c r="A262" t="s">
        <v>34</v>
      </c>
      <c r="B262">
        <v>2020</v>
      </c>
      <c r="C262" t="s">
        <v>37</v>
      </c>
      <c r="D262">
        <v>148.69999999999999</v>
      </c>
      <c r="E262" t="s">
        <v>32</v>
      </c>
      <c r="F262">
        <v>148.80000000000001</v>
      </c>
      <c r="G262">
        <v>155.6</v>
      </c>
      <c r="H262">
        <v>135.1</v>
      </c>
      <c r="I262">
        <v>149.9</v>
      </c>
      <c r="J262">
        <v>168.6</v>
      </c>
      <c r="K262">
        <v>150.4</v>
      </c>
      <c r="L262">
        <v>120.3</v>
      </c>
      <c r="M262">
        <v>157.1</v>
      </c>
      <c r="N262">
        <v>136.80000000000001</v>
      </c>
      <c r="O262" t="s">
        <v>32</v>
      </c>
      <c r="P262">
        <v>151.4</v>
      </c>
      <c r="Q262" t="s">
        <v>32</v>
      </c>
      <c r="R262" t="s">
        <v>32</v>
      </c>
      <c r="S262" t="s">
        <v>32</v>
      </c>
      <c r="T262" t="s">
        <v>32</v>
      </c>
      <c r="U262">
        <v>155.6</v>
      </c>
      <c r="V262">
        <v>144.1</v>
      </c>
      <c r="W262" t="s">
        <v>32</v>
      </c>
      <c r="X262">
        <v>150.69999999999999</v>
      </c>
      <c r="Y262" t="s">
        <v>32</v>
      </c>
      <c r="Z262" t="s">
        <v>32</v>
      </c>
      <c r="AA262" t="s">
        <v>32</v>
      </c>
      <c r="AB262" t="s">
        <v>32</v>
      </c>
      <c r="AC262" t="s">
        <v>32</v>
      </c>
      <c r="AD262" t="s">
        <v>32</v>
      </c>
    </row>
    <row r="263" spans="1:30" x14ac:dyDescent="0.25">
      <c r="A263" t="s">
        <v>30</v>
      </c>
      <c r="B263">
        <v>2020</v>
      </c>
      <c r="C263" t="s">
        <v>38</v>
      </c>
      <c r="D263" t="s">
        <v>32</v>
      </c>
      <c r="E263" t="s">
        <v>32</v>
      </c>
      <c r="F263" t="s">
        <v>32</v>
      </c>
      <c r="G263" t="s">
        <v>32</v>
      </c>
      <c r="H263" t="s">
        <v>32</v>
      </c>
      <c r="I263" t="s">
        <v>32</v>
      </c>
      <c r="J263" t="s">
        <v>32</v>
      </c>
      <c r="K263" t="s">
        <v>32</v>
      </c>
      <c r="L263" t="s">
        <v>32</v>
      </c>
      <c r="M263" t="s">
        <v>32</v>
      </c>
      <c r="N263" t="s">
        <v>32</v>
      </c>
      <c r="O263" t="s">
        <v>32</v>
      </c>
      <c r="P263" t="s">
        <v>32</v>
      </c>
      <c r="Q263" t="s">
        <v>32</v>
      </c>
      <c r="R263" t="s">
        <v>32</v>
      </c>
      <c r="S263" t="s">
        <v>32</v>
      </c>
      <c r="T263" t="s">
        <v>32</v>
      </c>
      <c r="U263" t="s">
        <v>32</v>
      </c>
      <c r="V263" t="s">
        <v>32</v>
      </c>
      <c r="W263" t="s">
        <v>32</v>
      </c>
      <c r="X263" t="s">
        <v>32</v>
      </c>
      <c r="Y263" t="s">
        <v>32</v>
      </c>
      <c r="Z263" t="s">
        <v>32</v>
      </c>
      <c r="AA263" t="s">
        <v>32</v>
      </c>
      <c r="AB263" t="s">
        <v>32</v>
      </c>
      <c r="AC263" t="s">
        <v>32</v>
      </c>
      <c r="AD263" t="s">
        <v>32</v>
      </c>
    </row>
    <row r="264" spans="1:30" x14ac:dyDescent="0.25">
      <c r="A264" t="s">
        <v>33</v>
      </c>
      <c r="B264">
        <v>2020</v>
      </c>
      <c r="C264" t="s">
        <v>38</v>
      </c>
      <c r="D264" t="s">
        <v>32</v>
      </c>
      <c r="E264" t="s">
        <v>32</v>
      </c>
      <c r="F264" t="s">
        <v>32</v>
      </c>
      <c r="G264" t="s">
        <v>32</v>
      </c>
      <c r="H264" t="s">
        <v>32</v>
      </c>
      <c r="I264" t="s">
        <v>32</v>
      </c>
      <c r="J264" t="s">
        <v>32</v>
      </c>
      <c r="K264" t="s">
        <v>32</v>
      </c>
      <c r="L264" t="s">
        <v>32</v>
      </c>
      <c r="M264" t="s">
        <v>32</v>
      </c>
      <c r="N264" t="s">
        <v>32</v>
      </c>
      <c r="O264" t="s">
        <v>32</v>
      </c>
      <c r="P264" t="s">
        <v>32</v>
      </c>
      <c r="Q264" t="s">
        <v>32</v>
      </c>
      <c r="R264" t="s">
        <v>32</v>
      </c>
      <c r="S264" t="s">
        <v>32</v>
      </c>
      <c r="T264" t="s">
        <v>32</v>
      </c>
      <c r="U264" t="s">
        <v>32</v>
      </c>
      <c r="V264" t="s">
        <v>32</v>
      </c>
      <c r="W264" t="s">
        <v>32</v>
      </c>
      <c r="X264" t="s">
        <v>32</v>
      </c>
      <c r="Y264" t="s">
        <v>32</v>
      </c>
      <c r="Z264" t="s">
        <v>32</v>
      </c>
      <c r="AA264" t="s">
        <v>32</v>
      </c>
      <c r="AB264" t="s">
        <v>32</v>
      </c>
      <c r="AC264" t="s">
        <v>32</v>
      </c>
      <c r="AD264" t="s">
        <v>32</v>
      </c>
    </row>
    <row r="265" spans="1:30" x14ac:dyDescent="0.25">
      <c r="A265" t="s">
        <v>34</v>
      </c>
      <c r="B265">
        <v>2020</v>
      </c>
      <c r="C265" t="s">
        <v>38</v>
      </c>
      <c r="D265" t="s">
        <v>32</v>
      </c>
      <c r="E265" t="s">
        <v>32</v>
      </c>
      <c r="F265" t="s">
        <v>32</v>
      </c>
      <c r="G265" t="s">
        <v>32</v>
      </c>
      <c r="H265" t="s">
        <v>32</v>
      </c>
      <c r="I265" t="s">
        <v>32</v>
      </c>
      <c r="J265" t="s">
        <v>32</v>
      </c>
      <c r="K265" t="s">
        <v>32</v>
      </c>
      <c r="L265" t="s">
        <v>32</v>
      </c>
      <c r="M265" t="s">
        <v>32</v>
      </c>
      <c r="N265" t="s">
        <v>32</v>
      </c>
      <c r="O265" t="s">
        <v>32</v>
      </c>
      <c r="P265" t="s">
        <v>32</v>
      </c>
      <c r="Q265" t="s">
        <v>32</v>
      </c>
      <c r="R265" t="s">
        <v>32</v>
      </c>
      <c r="S265" t="s">
        <v>32</v>
      </c>
      <c r="T265" t="s">
        <v>32</v>
      </c>
      <c r="U265" t="s">
        <v>32</v>
      </c>
      <c r="V265" t="s">
        <v>32</v>
      </c>
      <c r="W265" t="s">
        <v>32</v>
      </c>
      <c r="X265" t="s">
        <v>32</v>
      </c>
      <c r="Y265" t="s">
        <v>32</v>
      </c>
      <c r="Z265" t="s">
        <v>32</v>
      </c>
      <c r="AA265" t="s">
        <v>32</v>
      </c>
      <c r="AB265" t="s">
        <v>32</v>
      </c>
      <c r="AC265" t="s">
        <v>32</v>
      </c>
      <c r="AD265" t="s">
        <v>32</v>
      </c>
    </row>
    <row r="266" spans="1:30" x14ac:dyDescent="0.25">
      <c r="A266" t="s">
        <v>30</v>
      </c>
      <c r="B266">
        <v>2020</v>
      </c>
      <c r="C266" t="s">
        <v>39</v>
      </c>
      <c r="D266">
        <v>148.19999999999999</v>
      </c>
      <c r="E266">
        <v>190.3</v>
      </c>
      <c r="F266">
        <v>149.4</v>
      </c>
      <c r="G266">
        <v>153.30000000000001</v>
      </c>
      <c r="H266">
        <v>138.19999999999999</v>
      </c>
      <c r="I266">
        <v>143.19999999999999</v>
      </c>
      <c r="J266">
        <v>148.9</v>
      </c>
      <c r="K266">
        <v>150.30000000000001</v>
      </c>
      <c r="L266">
        <v>113.2</v>
      </c>
      <c r="M266">
        <v>159.80000000000001</v>
      </c>
      <c r="N266">
        <v>142.1</v>
      </c>
      <c r="O266">
        <v>161.80000000000001</v>
      </c>
      <c r="P266">
        <v>152.30000000000001</v>
      </c>
      <c r="Q266">
        <v>182.4</v>
      </c>
      <c r="R266">
        <v>154.69999999999999</v>
      </c>
      <c r="S266">
        <v>150</v>
      </c>
      <c r="T266">
        <v>154.1</v>
      </c>
      <c r="U266" t="s">
        <v>32</v>
      </c>
      <c r="V266">
        <v>144.9</v>
      </c>
      <c r="W266">
        <v>151.69999999999999</v>
      </c>
      <c r="X266">
        <v>158.19999999999999</v>
      </c>
      <c r="Y266">
        <v>141.4</v>
      </c>
      <c r="Z266">
        <v>153.19999999999999</v>
      </c>
      <c r="AA266">
        <v>161.80000000000001</v>
      </c>
      <c r="AB266">
        <v>151.19999999999999</v>
      </c>
      <c r="AC266">
        <v>151.69999999999999</v>
      </c>
      <c r="AD266">
        <v>152.69999999999999</v>
      </c>
    </row>
    <row r="267" spans="1:30" x14ac:dyDescent="0.25">
      <c r="A267" t="s">
        <v>33</v>
      </c>
      <c r="B267">
        <v>2020</v>
      </c>
      <c r="C267" t="s">
        <v>39</v>
      </c>
      <c r="D267">
        <v>152.69999999999999</v>
      </c>
      <c r="E267">
        <v>197</v>
      </c>
      <c r="F267">
        <v>154.6</v>
      </c>
      <c r="G267">
        <v>153.4</v>
      </c>
      <c r="H267">
        <v>132.9</v>
      </c>
      <c r="I267">
        <v>151.80000000000001</v>
      </c>
      <c r="J267">
        <v>171.2</v>
      </c>
      <c r="K267">
        <v>152</v>
      </c>
      <c r="L267">
        <v>116.3</v>
      </c>
      <c r="M267">
        <v>158.80000000000001</v>
      </c>
      <c r="N267">
        <v>135.6</v>
      </c>
      <c r="O267">
        <v>161.69999999999999</v>
      </c>
      <c r="P267">
        <v>157</v>
      </c>
      <c r="Q267">
        <v>186.7</v>
      </c>
      <c r="R267">
        <v>149.1</v>
      </c>
      <c r="S267">
        <v>136.6</v>
      </c>
      <c r="T267">
        <v>147.19999999999999</v>
      </c>
      <c r="U267">
        <v>154.69999999999999</v>
      </c>
      <c r="V267">
        <v>137.1</v>
      </c>
      <c r="W267">
        <v>140.4</v>
      </c>
      <c r="X267">
        <v>148.1</v>
      </c>
      <c r="Y267">
        <v>129.30000000000001</v>
      </c>
      <c r="Z267">
        <v>144.5</v>
      </c>
      <c r="AA267">
        <v>152.5</v>
      </c>
      <c r="AB267">
        <v>152.19999999999999</v>
      </c>
      <c r="AC267">
        <v>142</v>
      </c>
      <c r="AD267">
        <v>150.80000000000001</v>
      </c>
    </row>
    <row r="268" spans="1:30" x14ac:dyDescent="0.25">
      <c r="A268" t="s">
        <v>34</v>
      </c>
      <c r="B268">
        <v>2020</v>
      </c>
      <c r="C268" t="s">
        <v>39</v>
      </c>
      <c r="D268">
        <v>149.6</v>
      </c>
      <c r="E268">
        <v>192.7</v>
      </c>
      <c r="F268">
        <v>151.4</v>
      </c>
      <c r="G268">
        <v>153.30000000000001</v>
      </c>
      <c r="H268">
        <v>136.30000000000001</v>
      </c>
      <c r="I268">
        <v>147.19999999999999</v>
      </c>
      <c r="J268">
        <v>156.5</v>
      </c>
      <c r="K268">
        <v>150.9</v>
      </c>
      <c r="L268">
        <v>114.2</v>
      </c>
      <c r="M268">
        <v>159.5</v>
      </c>
      <c r="N268">
        <v>139.4</v>
      </c>
      <c r="O268">
        <v>161.80000000000001</v>
      </c>
      <c r="P268">
        <v>154</v>
      </c>
      <c r="Q268">
        <v>183.5</v>
      </c>
      <c r="R268">
        <v>152.5</v>
      </c>
      <c r="S268">
        <v>144.4</v>
      </c>
      <c r="T268">
        <v>151.4</v>
      </c>
      <c r="U268">
        <v>154.69999999999999</v>
      </c>
      <c r="V268">
        <v>141.9</v>
      </c>
      <c r="W268">
        <v>146.4</v>
      </c>
      <c r="X268">
        <v>154.4</v>
      </c>
      <c r="Y268">
        <v>135</v>
      </c>
      <c r="Z268">
        <v>148.30000000000001</v>
      </c>
      <c r="AA268">
        <v>156.4</v>
      </c>
      <c r="AB268">
        <v>151.6</v>
      </c>
      <c r="AC268">
        <v>147</v>
      </c>
      <c r="AD268">
        <v>151.80000000000001</v>
      </c>
    </row>
    <row r="269" spans="1:30" x14ac:dyDescent="0.25">
      <c r="A269" t="s">
        <v>30</v>
      </c>
      <c r="B269">
        <v>2020</v>
      </c>
      <c r="C269" t="s">
        <v>40</v>
      </c>
      <c r="D269">
        <v>148.19999999999999</v>
      </c>
      <c r="E269">
        <v>190.3</v>
      </c>
      <c r="F269">
        <v>149.4</v>
      </c>
      <c r="G269">
        <v>153.30000000000001</v>
      </c>
      <c r="H269">
        <v>138.19999999999999</v>
      </c>
      <c r="I269">
        <v>143.19999999999999</v>
      </c>
      <c r="J269">
        <v>148.9</v>
      </c>
      <c r="K269">
        <v>150.30000000000001</v>
      </c>
      <c r="L269">
        <v>113.2</v>
      </c>
      <c r="M269">
        <v>159.80000000000001</v>
      </c>
      <c r="N269">
        <v>142.1</v>
      </c>
      <c r="O269">
        <v>161.80000000000001</v>
      </c>
      <c r="P269">
        <v>152.30000000000001</v>
      </c>
      <c r="Q269">
        <v>182.4</v>
      </c>
      <c r="R269">
        <v>154.69999999999999</v>
      </c>
      <c r="S269">
        <v>150</v>
      </c>
      <c r="T269">
        <v>154.1</v>
      </c>
      <c r="U269" t="s">
        <v>32</v>
      </c>
      <c r="V269">
        <v>144.9</v>
      </c>
      <c r="W269">
        <v>151.69999999999999</v>
      </c>
      <c r="X269">
        <v>158.19999999999999</v>
      </c>
      <c r="Y269">
        <v>141.4</v>
      </c>
      <c r="Z269">
        <v>153.19999999999999</v>
      </c>
      <c r="AA269">
        <v>161.80000000000001</v>
      </c>
      <c r="AB269">
        <v>151.19999999999999</v>
      </c>
      <c r="AC269">
        <v>151.69999999999999</v>
      </c>
      <c r="AD269">
        <v>152.69999999999999</v>
      </c>
    </row>
    <row r="270" spans="1:30" x14ac:dyDescent="0.25">
      <c r="A270" t="s">
        <v>33</v>
      </c>
      <c r="B270">
        <v>2020</v>
      </c>
      <c r="C270" t="s">
        <v>40</v>
      </c>
      <c r="D270">
        <v>152.69999999999999</v>
      </c>
      <c r="E270">
        <v>197</v>
      </c>
      <c r="F270">
        <v>154.6</v>
      </c>
      <c r="G270">
        <v>153.4</v>
      </c>
      <c r="H270">
        <v>132.9</v>
      </c>
      <c r="I270">
        <v>151.80000000000001</v>
      </c>
      <c r="J270">
        <v>171.2</v>
      </c>
      <c r="K270">
        <v>152</v>
      </c>
      <c r="L270">
        <v>116.3</v>
      </c>
      <c r="M270">
        <v>158.80000000000001</v>
      </c>
      <c r="N270">
        <v>135.6</v>
      </c>
      <c r="O270">
        <v>161.69999999999999</v>
      </c>
      <c r="P270">
        <v>157</v>
      </c>
      <c r="Q270">
        <v>186.7</v>
      </c>
      <c r="R270">
        <v>149.1</v>
      </c>
      <c r="S270">
        <v>136.6</v>
      </c>
      <c r="T270">
        <v>147.19999999999999</v>
      </c>
      <c r="U270">
        <v>154.69999999999999</v>
      </c>
      <c r="V270">
        <v>137.1</v>
      </c>
      <c r="W270">
        <v>140.4</v>
      </c>
      <c r="X270">
        <v>148.1</v>
      </c>
      <c r="Y270">
        <v>129.30000000000001</v>
      </c>
      <c r="Z270">
        <v>144.5</v>
      </c>
      <c r="AA270">
        <v>152.5</v>
      </c>
      <c r="AB270">
        <v>152.19999999999999</v>
      </c>
      <c r="AC270">
        <v>142</v>
      </c>
      <c r="AD270">
        <v>150.80000000000001</v>
      </c>
    </row>
    <row r="271" spans="1:30" x14ac:dyDescent="0.25">
      <c r="A271" t="s">
        <v>34</v>
      </c>
      <c r="B271">
        <v>2020</v>
      </c>
      <c r="C271" t="s">
        <v>40</v>
      </c>
      <c r="D271">
        <v>149.6</v>
      </c>
      <c r="E271">
        <v>192.7</v>
      </c>
      <c r="F271">
        <v>151.4</v>
      </c>
      <c r="G271">
        <v>153.30000000000001</v>
      </c>
      <c r="H271">
        <v>136.30000000000001</v>
      </c>
      <c r="I271">
        <v>147.19999999999999</v>
      </c>
      <c r="J271">
        <v>156.5</v>
      </c>
      <c r="K271">
        <v>150.9</v>
      </c>
      <c r="L271">
        <v>114.2</v>
      </c>
      <c r="M271">
        <v>159.5</v>
      </c>
      <c r="N271">
        <v>139.4</v>
      </c>
      <c r="O271">
        <v>161.80000000000001</v>
      </c>
      <c r="P271">
        <v>154</v>
      </c>
      <c r="Q271">
        <v>183.5</v>
      </c>
      <c r="R271">
        <v>152.5</v>
      </c>
      <c r="S271">
        <v>144.4</v>
      </c>
      <c r="T271">
        <v>151.4</v>
      </c>
      <c r="U271">
        <v>154.69999999999999</v>
      </c>
      <c r="V271">
        <v>141.9</v>
      </c>
      <c r="W271">
        <v>146.4</v>
      </c>
      <c r="X271">
        <v>154.4</v>
      </c>
      <c r="Y271">
        <v>135</v>
      </c>
      <c r="Z271">
        <v>148.30000000000001</v>
      </c>
      <c r="AA271">
        <v>156.4</v>
      </c>
      <c r="AB271">
        <v>151.6</v>
      </c>
      <c r="AC271">
        <v>147</v>
      </c>
      <c r="AD271">
        <v>151.80000000000001</v>
      </c>
    </row>
    <row r="272" spans="1:30" x14ac:dyDescent="0.25">
      <c r="A272" t="s">
        <v>30</v>
      </c>
      <c r="B272">
        <v>2020</v>
      </c>
      <c r="C272" t="s">
        <v>41</v>
      </c>
      <c r="D272">
        <v>147.6</v>
      </c>
      <c r="E272">
        <v>187.2</v>
      </c>
      <c r="F272">
        <v>148.4</v>
      </c>
      <c r="G272">
        <v>153.30000000000001</v>
      </c>
      <c r="H272">
        <v>139.80000000000001</v>
      </c>
      <c r="I272">
        <v>146.9</v>
      </c>
      <c r="J272">
        <v>171</v>
      </c>
      <c r="K272">
        <v>149.9</v>
      </c>
      <c r="L272">
        <v>114.2</v>
      </c>
      <c r="M272">
        <v>160</v>
      </c>
      <c r="N272">
        <v>143.5</v>
      </c>
      <c r="O272">
        <v>161.5</v>
      </c>
      <c r="P272">
        <v>155.30000000000001</v>
      </c>
      <c r="Q272">
        <v>180.9</v>
      </c>
      <c r="R272">
        <v>155.1</v>
      </c>
      <c r="S272">
        <v>149.30000000000001</v>
      </c>
      <c r="T272">
        <v>154.30000000000001</v>
      </c>
      <c r="U272" t="s">
        <v>32</v>
      </c>
      <c r="V272">
        <v>145.80000000000001</v>
      </c>
      <c r="W272">
        <v>151.9</v>
      </c>
      <c r="X272">
        <v>158.80000000000001</v>
      </c>
      <c r="Y272">
        <v>143.6</v>
      </c>
      <c r="Z272">
        <v>152.19999999999999</v>
      </c>
      <c r="AA272">
        <v>162.69999999999999</v>
      </c>
      <c r="AB272">
        <v>153.6</v>
      </c>
      <c r="AC272">
        <v>153</v>
      </c>
      <c r="AD272">
        <v>154.69999999999999</v>
      </c>
    </row>
    <row r="273" spans="1:30" x14ac:dyDescent="0.25">
      <c r="A273" t="s">
        <v>33</v>
      </c>
      <c r="B273">
        <v>2020</v>
      </c>
      <c r="C273" t="s">
        <v>41</v>
      </c>
      <c r="D273">
        <v>151.6</v>
      </c>
      <c r="E273">
        <v>197.8</v>
      </c>
      <c r="F273">
        <v>154.5</v>
      </c>
      <c r="G273">
        <v>153.4</v>
      </c>
      <c r="H273">
        <v>133.4</v>
      </c>
      <c r="I273">
        <v>154.5</v>
      </c>
      <c r="J273">
        <v>191.9</v>
      </c>
      <c r="K273">
        <v>151.30000000000001</v>
      </c>
      <c r="L273">
        <v>116.8</v>
      </c>
      <c r="M273">
        <v>160</v>
      </c>
      <c r="N273">
        <v>136.5</v>
      </c>
      <c r="O273">
        <v>163.30000000000001</v>
      </c>
      <c r="P273">
        <v>159.9</v>
      </c>
      <c r="Q273">
        <v>187.2</v>
      </c>
      <c r="R273">
        <v>150</v>
      </c>
      <c r="S273">
        <v>135.19999999999999</v>
      </c>
      <c r="T273">
        <v>147.80000000000001</v>
      </c>
      <c r="U273">
        <v>155.5</v>
      </c>
      <c r="V273">
        <v>138.30000000000001</v>
      </c>
      <c r="W273">
        <v>144.5</v>
      </c>
      <c r="X273">
        <v>148.69999999999999</v>
      </c>
      <c r="Y273">
        <v>133.9</v>
      </c>
      <c r="Z273">
        <v>141.19999999999999</v>
      </c>
      <c r="AA273">
        <v>155.5</v>
      </c>
      <c r="AB273">
        <v>155.19999999999999</v>
      </c>
      <c r="AC273">
        <v>144.80000000000001</v>
      </c>
      <c r="AD273">
        <v>152.9</v>
      </c>
    </row>
    <row r="274" spans="1:30" x14ac:dyDescent="0.25">
      <c r="A274" t="s">
        <v>34</v>
      </c>
      <c r="B274">
        <v>2020</v>
      </c>
      <c r="C274" t="s">
        <v>41</v>
      </c>
      <c r="D274">
        <v>148.9</v>
      </c>
      <c r="E274">
        <v>190.9</v>
      </c>
      <c r="F274">
        <v>150.80000000000001</v>
      </c>
      <c r="G274">
        <v>153.30000000000001</v>
      </c>
      <c r="H274">
        <v>137.4</v>
      </c>
      <c r="I274">
        <v>150.4</v>
      </c>
      <c r="J274">
        <v>178.1</v>
      </c>
      <c r="K274">
        <v>150.4</v>
      </c>
      <c r="L274">
        <v>115.1</v>
      </c>
      <c r="M274">
        <v>160</v>
      </c>
      <c r="N274">
        <v>140.6</v>
      </c>
      <c r="O274">
        <v>162.30000000000001</v>
      </c>
      <c r="P274">
        <v>157</v>
      </c>
      <c r="Q274">
        <v>182.6</v>
      </c>
      <c r="R274">
        <v>153.1</v>
      </c>
      <c r="S274">
        <v>143.4</v>
      </c>
      <c r="T274">
        <v>151.69999999999999</v>
      </c>
      <c r="U274">
        <v>155.5</v>
      </c>
      <c r="V274">
        <v>143</v>
      </c>
      <c r="W274">
        <v>148.4</v>
      </c>
      <c r="X274">
        <v>155</v>
      </c>
      <c r="Y274">
        <v>138.5</v>
      </c>
      <c r="Z274">
        <v>146</v>
      </c>
      <c r="AA274">
        <v>158.5</v>
      </c>
      <c r="AB274">
        <v>154.30000000000001</v>
      </c>
      <c r="AC274">
        <v>149</v>
      </c>
      <c r="AD274">
        <v>153.9</v>
      </c>
    </row>
    <row r="275" spans="1:30" x14ac:dyDescent="0.25">
      <c r="A275" t="s">
        <v>30</v>
      </c>
      <c r="B275">
        <v>2020</v>
      </c>
      <c r="C275" t="s">
        <v>42</v>
      </c>
      <c r="D275">
        <v>146.9</v>
      </c>
      <c r="E275">
        <v>183.9</v>
      </c>
      <c r="F275">
        <v>149.5</v>
      </c>
      <c r="G275">
        <v>153.4</v>
      </c>
      <c r="H275">
        <v>140.4</v>
      </c>
      <c r="I275">
        <v>147</v>
      </c>
      <c r="J275">
        <v>178.8</v>
      </c>
      <c r="K275">
        <v>149.30000000000001</v>
      </c>
      <c r="L275">
        <v>115.1</v>
      </c>
      <c r="M275">
        <v>160</v>
      </c>
      <c r="N275">
        <v>145.4</v>
      </c>
      <c r="O275">
        <v>161.6</v>
      </c>
      <c r="P275">
        <v>156.1</v>
      </c>
      <c r="Q275">
        <v>182.9</v>
      </c>
      <c r="R275">
        <v>155.4</v>
      </c>
      <c r="S275">
        <v>149.9</v>
      </c>
      <c r="T275">
        <v>154.6</v>
      </c>
      <c r="U275" t="s">
        <v>32</v>
      </c>
      <c r="V275">
        <v>146.4</v>
      </c>
      <c r="W275">
        <v>151.6</v>
      </c>
      <c r="X275">
        <v>159.1</v>
      </c>
      <c r="Y275">
        <v>144.6</v>
      </c>
      <c r="Z275">
        <v>152.80000000000001</v>
      </c>
      <c r="AA275">
        <v>161.1</v>
      </c>
      <c r="AB275">
        <v>157.4</v>
      </c>
      <c r="AC275">
        <v>153.69999999999999</v>
      </c>
      <c r="AD275">
        <v>155.4</v>
      </c>
    </row>
    <row r="276" spans="1:30" x14ac:dyDescent="0.25">
      <c r="A276" t="s">
        <v>33</v>
      </c>
      <c r="B276">
        <v>2020</v>
      </c>
      <c r="C276" t="s">
        <v>42</v>
      </c>
      <c r="D276">
        <v>151.5</v>
      </c>
      <c r="E276">
        <v>193.1</v>
      </c>
      <c r="F276">
        <v>157.30000000000001</v>
      </c>
      <c r="G276">
        <v>153.9</v>
      </c>
      <c r="H276">
        <v>134.4</v>
      </c>
      <c r="I276">
        <v>155.4</v>
      </c>
      <c r="J276">
        <v>202</v>
      </c>
      <c r="K276">
        <v>150.80000000000001</v>
      </c>
      <c r="L276">
        <v>118.9</v>
      </c>
      <c r="M276">
        <v>160.9</v>
      </c>
      <c r="N276">
        <v>137.69999999999999</v>
      </c>
      <c r="O276">
        <v>164.4</v>
      </c>
      <c r="P276">
        <v>161.30000000000001</v>
      </c>
      <c r="Q276">
        <v>188.7</v>
      </c>
      <c r="R276">
        <v>150.19999999999999</v>
      </c>
      <c r="S276">
        <v>136.30000000000001</v>
      </c>
      <c r="T276">
        <v>148.1</v>
      </c>
      <c r="U276">
        <v>156.30000000000001</v>
      </c>
      <c r="V276">
        <v>137.19999999999999</v>
      </c>
      <c r="W276">
        <v>145.4</v>
      </c>
      <c r="X276">
        <v>150</v>
      </c>
      <c r="Y276">
        <v>135.1</v>
      </c>
      <c r="Z276">
        <v>141.80000000000001</v>
      </c>
      <c r="AA276">
        <v>154.9</v>
      </c>
      <c r="AB276">
        <v>159.80000000000001</v>
      </c>
      <c r="AC276">
        <v>146</v>
      </c>
      <c r="AD276">
        <v>154</v>
      </c>
    </row>
    <row r="277" spans="1:30" x14ac:dyDescent="0.25">
      <c r="A277" t="s">
        <v>34</v>
      </c>
      <c r="B277">
        <v>2020</v>
      </c>
      <c r="C277" t="s">
        <v>42</v>
      </c>
      <c r="D277">
        <v>148.4</v>
      </c>
      <c r="E277">
        <v>187.1</v>
      </c>
      <c r="F277">
        <v>152.5</v>
      </c>
      <c r="G277">
        <v>153.6</v>
      </c>
      <c r="H277">
        <v>138.19999999999999</v>
      </c>
      <c r="I277">
        <v>150.9</v>
      </c>
      <c r="J277">
        <v>186.7</v>
      </c>
      <c r="K277">
        <v>149.80000000000001</v>
      </c>
      <c r="L277">
        <v>116.4</v>
      </c>
      <c r="M277">
        <v>160.30000000000001</v>
      </c>
      <c r="N277">
        <v>142.19999999999999</v>
      </c>
      <c r="O277">
        <v>162.9</v>
      </c>
      <c r="P277">
        <v>158</v>
      </c>
      <c r="Q277">
        <v>184.4</v>
      </c>
      <c r="R277">
        <v>153.4</v>
      </c>
      <c r="S277">
        <v>144.30000000000001</v>
      </c>
      <c r="T277">
        <v>152</v>
      </c>
      <c r="U277">
        <v>156.30000000000001</v>
      </c>
      <c r="V277">
        <v>142.9</v>
      </c>
      <c r="W277">
        <v>148.69999999999999</v>
      </c>
      <c r="X277">
        <v>155.6</v>
      </c>
      <c r="Y277">
        <v>139.6</v>
      </c>
      <c r="Z277">
        <v>146.6</v>
      </c>
      <c r="AA277">
        <v>157.5</v>
      </c>
      <c r="AB277">
        <v>158.4</v>
      </c>
      <c r="AC277">
        <v>150</v>
      </c>
      <c r="AD277">
        <v>154.69999999999999</v>
      </c>
    </row>
    <row r="278" spans="1:30" x14ac:dyDescent="0.25">
      <c r="A278" t="s">
        <v>30</v>
      </c>
      <c r="B278">
        <v>2020</v>
      </c>
      <c r="C278" t="s">
        <v>43</v>
      </c>
      <c r="D278">
        <v>146</v>
      </c>
      <c r="E278">
        <v>186.3</v>
      </c>
      <c r="F278">
        <v>159.19999999999999</v>
      </c>
      <c r="G278">
        <v>153.6</v>
      </c>
      <c r="H278">
        <v>142.6</v>
      </c>
      <c r="I278">
        <v>147.19999999999999</v>
      </c>
      <c r="J278">
        <v>200.6</v>
      </c>
      <c r="K278">
        <v>150.30000000000001</v>
      </c>
      <c r="L278">
        <v>115.3</v>
      </c>
      <c r="M278">
        <v>160.9</v>
      </c>
      <c r="N278">
        <v>147.4</v>
      </c>
      <c r="O278">
        <v>161.9</v>
      </c>
      <c r="P278">
        <v>159.6</v>
      </c>
      <c r="Q278">
        <v>182.7</v>
      </c>
      <c r="R278">
        <v>155.69999999999999</v>
      </c>
      <c r="S278">
        <v>150.6</v>
      </c>
      <c r="T278">
        <v>155</v>
      </c>
      <c r="U278" t="s">
        <v>32</v>
      </c>
      <c r="V278">
        <v>146.80000000000001</v>
      </c>
      <c r="W278">
        <v>152</v>
      </c>
      <c r="X278">
        <v>159.5</v>
      </c>
      <c r="Y278">
        <v>146.4</v>
      </c>
      <c r="Z278">
        <v>152.4</v>
      </c>
      <c r="AA278">
        <v>162.5</v>
      </c>
      <c r="AB278">
        <v>156.19999999999999</v>
      </c>
      <c r="AC278">
        <v>154.30000000000001</v>
      </c>
      <c r="AD278">
        <v>157.5</v>
      </c>
    </row>
    <row r="279" spans="1:30" x14ac:dyDescent="0.25">
      <c r="A279" t="s">
        <v>33</v>
      </c>
      <c r="B279">
        <v>2020</v>
      </c>
      <c r="C279" t="s">
        <v>43</v>
      </c>
      <c r="D279">
        <v>150.6</v>
      </c>
      <c r="E279">
        <v>193.7</v>
      </c>
      <c r="F279">
        <v>164.8</v>
      </c>
      <c r="G279">
        <v>153.69999999999999</v>
      </c>
      <c r="H279">
        <v>135.69999999999999</v>
      </c>
      <c r="I279">
        <v>155.69999999999999</v>
      </c>
      <c r="J279">
        <v>226</v>
      </c>
      <c r="K279">
        <v>152.19999999999999</v>
      </c>
      <c r="L279">
        <v>118.1</v>
      </c>
      <c r="M279">
        <v>161.30000000000001</v>
      </c>
      <c r="N279">
        <v>139.19999999999999</v>
      </c>
      <c r="O279">
        <v>164.8</v>
      </c>
      <c r="P279">
        <v>164.4</v>
      </c>
      <c r="Q279">
        <v>188.7</v>
      </c>
      <c r="R279">
        <v>150.5</v>
      </c>
      <c r="S279">
        <v>136.1</v>
      </c>
      <c r="T279">
        <v>148.30000000000001</v>
      </c>
      <c r="U279">
        <v>156.5</v>
      </c>
      <c r="V279">
        <v>137.1</v>
      </c>
      <c r="W279">
        <v>145.1</v>
      </c>
      <c r="X279">
        <v>151</v>
      </c>
      <c r="Y279">
        <v>135.4</v>
      </c>
      <c r="Z279">
        <v>142</v>
      </c>
      <c r="AA279">
        <v>155.69999999999999</v>
      </c>
      <c r="AB279">
        <v>158.1</v>
      </c>
      <c r="AC279">
        <v>146.19999999999999</v>
      </c>
      <c r="AD279">
        <v>155.19999999999999</v>
      </c>
    </row>
    <row r="280" spans="1:30" x14ac:dyDescent="0.25">
      <c r="A280" t="s">
        <v>34</v>
      </c>
      <c r="B280">
        <v>2020</v>
      </c>
      <c r="C280" t="s">
        <v>43</v>
      </c>
      <c r="D280">
        <v>147.5</v>
      </c>
      <c r="E280">
        <v>188.9</v>
      </c>
      <c r="F280">
        <v>161.4</v>
      </c>
      <c r="G280">
        <v>153.6</v>
      </c>
      <c r="H280">
        <v>140.1</v>
      </c>
      <c r="I280">
        <v>151.19999999999999</v>
      </c>
      <c r="J280">
        <v>209.2</v>
      </c>
      <c r="K280">
        <v>150.9</v>
      </c>
      <c r="L280">
        <v>116.2</v>
      </c>
      <c r="M280">
        <v>161</v>
      </c>
      <c r="N280">
        <v>144</v>
      </c>
      <c r="O280">
        <v>163.19999999999999</v>
      </c>
      <c r="P280">
        <v>161.4</v>
      </c>
      <c r="Q280">
        <v>184.3</v>
      </c>
      <c r="R280">
        <v>153.69999999999999</v>
      </c>
      <c r="S280">
        <v>144.6</v>
      </c>
      <c r="T280">
        <v>152.30000000000001</v>
      </c>
      <c r="U280">
        <v>156.5</v>
      </c>
      <c r="V280">
        <v>143.1</v>
      </c>
      <c r="W280">
        <v>148.69999999999999</v>
      </c>
      <c r="X280">
        <v>156.30000000000001</v>
      </c>
      <c r="Y280">
        <v>140.6</v>
      </c>
      <c r="Z280">
        <v>146.5</v>
      </c>
      <c r="AA280">
        <v>158.5</v>
      </c>
      <c r="AB280">
        <v>157</v>
      </c>
      <c r="AC280">
        <v>150.4</v>
      </c>
      <c r="AD280">
        <v>156.4</v>
      </c>
    </row>
    <row r="281" spans="1:30" x14ac:dyDescent="0.25">
      <c r="A281" t="s">
        <v>30</v>
      </c>
      <c r="B281">
        <v>2020</v>
      </c>
      <c r="C281" t="s">
        <v>45</v>
      </c>
      <c r="D281">
        <v>145.4</v>
      </c>
      <c r="E281">
        <v>188.6</v>
      </c>
      <c r="F281">
        <v>171.6</v>
      </c>
      <c r="G281">
        <v>153.80000000000001</v>
      </c>
      <c r="H281">
        <v>145.4</v>
      </c>
      <c r="I281">
        <v>146.5</v>
      </c>
      <c r="J281">
        <v>222.2</v>
      </c>
      <c r="K281">
        <v>155.9</v>
      </c>
      <c r="L281">
        <v>114.9</v>
      </c>
      <c r="M281">
        <v>162</v>
      </c>
      <c r="N281">
        <v>150</v>
      </c>
      <c r="O281">
        <v>162.69999999999999</v>
      </c>
      <c r="P281">
        <v>163.4</v>
      </c>
      <c r="Q281">
        <v>183.4</v>
      </c>
      <c r="R281">
        <v>156.30000000000001</v>
      </c>
      <c r="S281">
        <v>151</v>
      </c>
      <c r="T281">
        <v>155.5</v>
      </c>
      <c r="U281" t="s">
        <v>32</v>
      </c>
      <c r="V281">
        <v>147.5</v>
      </c>
      <c r="W281">
        <v>152.80000000000001</v>
      </c>
      <c r="X281">
        <v>160.4</v>
      </c>
      <c r="Y281">
        <v>146.1</v>
      </c>
      <c r="Z281">
        <v>153.6</v>
      </c>
      <c r="AA281">
        <v>161.6</v>
      </c>
      <c r="AB281">
        <v>156.19999999999999</v>
      </c>
      <c r="AC281">
        <v>154.5</v>
      </c>
      <c r="AD281">
        <v>159.80000000000001</v>
      </c>
    </row>
    <row r="282" spans="1:30" x14ac:dyDescent="0.25">
      <c r="A282" t="s">
        <v>33</v>
      </c>
      <c r="B282">
        <v>2020</v>
      </c>
      <c r="C282" t="s">
        <v>45</v>
      </c>
      <c r="D282">
        <v>149.69999999999999</v>
      </c>
      <c r="E282">
        <v>195.5</v>
      </c>
      <c r="F282">
        <v>176.9</v>
      </c>
      <c r="G282">
        <v>153.9</v>
      </c>
      <c r="H282">
        <v>138</v>
      </c>
      <c r="I282">
        <v>150.5</v>
      </c>
      <c r="J282">
        <v>245.3</v>
      </c>
      <c r="K282">
        <v>158.69999999999999</v>
      </c>
      <c r="L282">
        <v>117.2</v>
      </c>
      <c r="M282">
        <v>161.4</v>
      </c>
      <c r="N282">
        <v>141.5</v>
      </c>
      <c r="O282">
        <v>165.1</v>
      </c>
      <c r="P282">
        <v>167</v>
      </c>
      <c r="Q282">
        <v>188.8</v>
      </c>
      <c r="R282">
        <v>151.1</v>
      </c>
      <c r="S282">
        <v>136.4</v>
      </c>
      <c r="T282">
        <v>148.80000000000001</v>
      </c>
      <c r="U282">
        <v>158</v>
      </c>
      <c r="V282">
        <v>137.30000000000001</v>
      </c>
      <c r="W282">
        <v>145.1</v>
      </c>
      <c r="X282">
        <v>152</v>
      </c>
      <c r="Y282">
        <v>135.19999999999999</v>
      </c>
      <c r="Z282">
        <v>144.4</v>
      </c>
      <c r="AA282">
        <v>156.4</v>
      </c>
      <c r="AB282">
        <v>157.9</v>
      </c>
      <c r="AC282">
        <v>146.6</v>
      </c>
      <c r="AD282">
        <v>156.69999999999999</v>
      </c>
    </row>
    <row r="283" spans="1:30" x14ac:dyDescent="0.25">
      <c r="A283" t="s">
        <v>34</v>
      </c>
      <c r="B283">
        <v>2020</v>
      </c>
      <c r="C283" t="s">
        <v>45</v>
      </c>
      <c r="D283">
        <v>146.80000000000001</v>
      </c>
      <c r="E283">
        <v>191</v>
      </c>
      <c r="F283">
        <v>173.6</v>
      </c>
      <c r="G283">
        <v>153.80000000000001</v>
      </c>
      <c r="H283">
        <v>142.69999999999999</v>
      </c>
      <c r="I283">
        <v>148.4</v>
      </c>
      <c r="J283">
        <v>230</v>
      </c>
      <c r="K283">
        <v>156.80000000000001</v>
      </c>
      <c r="L283">
        <v>115.7</v>
      </c>
      <c r="M283">
        <v>161.80000000000001</v>
      </c>
      <c r="N283">
        <v>146.5</v>
      </c>
      <c r="O283">
        <v>163.80000000000001</v>
      </c>
      <c r="P283">
        <v>164.7</v>
      </c>
      <c r="Q283">
        <v>184.8</v>
      </c>
      <c r="R283">
        <v>154.30000000000001</v>
      </c>
      <c r="S283">
        <v>144.9</v>
      </c>
      <c r="T283">
        <v>152.80000000000001</v>
      </c>
      <c r="U283">
        <v>158</v>
      </c>
      <c r="V283">
        <v>143.6</v>
      </c>
      <c r="W283">
        <v>149.19999999999999</v>
      </c>
      <c r="X283">
        <v>157.19999999999999</v>
      </c>
      <c r="Y283">
        <v>140.4</v>
      </c>
      <c r="Z283">
        <v>148.4</v>
      </c>
      <c r="AA283">
        <v>158.6</v>
      </c>
      <c r="AB283">
        <v>156.9</v>
      </c>
      <c r="AC283">
        <v>150.69999999999999</v>
      </c>
      <c r="AD283">
        <v>158.4</v>
      </c>
    </row>
    <row r="284" spans="1:30" x14ac:dyDescent="0.25">
      <c r="A284" t="s">
        <v>30</v>
      </c>
      <c r="B284">
        <v>2020</v>
      </c>
      <c r="C284" t="s">
        <v>46</v>
      </c>
      <c r="D284">
        <v>144.6</v>
      </c>
      <c r="E284">
        <v>188.5</v>
      </c>
      <c r="F284">
        <v>173.4</v>
      </c>
      <c r="G284">
        <v>154</v>
      </c>
      <c r="H284">
        <v>150</v>
      </c>
      <c r="I284">
        <v>145.9</v>
      </c>
      <c r="J284">
        <v>225.2</v>
      </c>
      <c r="K284">
        <v>159.5</v>
      </c>
      <c r="L284">
        <v>114.4</v>
      </c>
      <c r="M284">
        <v>163.5</v>
      </c>
      <c r="N284">
        <v>153.4</v>
      </c>
      <c r="O284">
        <v>163.6</v>
      </c>
      <c r="P284">
        <v>164.5</v>
      </c>
      <c r="Q284">
        <v>183.6</v>
      </c>
      <c r="R284">
        <v>157</v>
      </c>
      <c r="S284">
        <v>151.6</v>
      </c>
      <c r="T284">
        <v>156.30000000000001</v>
      </c>
      <c r="U284" t="s">
        <v>32</v>
      </c>
      <c r="V284">
        <v>148.69999999999999</v>
      </c>
      <c r="W284">
        <v>153.4</v>
      </c>
      <c r="X284">
        <v>161.6</v>
      </c>
      <c r="Y284">
        <v>146.4</v>
      </c>
      <c r="Z284">
        <v>153.9</v>
      </c>
      <c r="AA284">
        <v>162.9</v>
      </c>
      <c r="AB284">
        <v>156.6</v>
      </c>
      <c r="AC284">
        <v>155.19999999999999</v>
      </c>
      <c r="AD284">
        <v>160.69999999999999</v>
      </c>
    </row>
    <row r="285" spans="1:30" x14ac:dyDescent="0.25">
      <c r="A285" t="s">
        <v>33</v>
      </c>
      <c r="B285">
        <v>2020</v>
      </c>
      <c r="C285" t="s">
        <v>46</v>
      </c>
      <c r="D285">
        <v>149</v>
      </c>
      <c r="E285">
        <v>195.7</v>
      </c>
      <c r="F285">
        <v>178.3</v>
      </c>
      <c r="G285">
        <v>154.19999999999999</v>
      </c>
      <c r="H285">
        <v>140.69999999999999</v>
      </c>
      <c r="I285">
        <v>149.69999999999999</v>
      </c>
      <c r="J285">
        <v>240.9</v>
      </c>
      <c r="K285">
        <v>161.5</v>
      </c>
      <c r="L285">
        <v>117.1</v>
      </c>
      <c r="M285">
        <v>161.9</v>
      </c>
      <c r="N285">
        <v>143.30000000000001</v>
      </c>
      <c r="O285">
        <v>166.1</v>
      </c>
      <c r="P285">
        <v>167</v>
      </c>
      <c r="Q285">
        <v>190.2</v>
      </c>
      <c r="R285">
        <v>151.9</v>
      </c>
      <c r="S285">
        <v>136.69999999999999</v>
      </c>
      <c r="T285">
        <v>149.6</v>
      </c>
      <c r="U285">
        <v>158.4</v>
      </c>
      <c r="V285">
        <v>137.9</v>
      </c>
      <c r="W285">
        <v>145.5</v>
      </c>
      <c r="X285">
        <v>152.9</v>
      </c>
      <c r="Y285">
        <v>135.5</v>
      </c>
      <c r="Z285">
        <v>144.30000000000001</v>
      </c>
      <c r="AA285">
        <v>156.9</v>
      </c>
      <c r="AB285">
        <v>157.9</v>
      </c>
      <c r="AC285">
        <v>146.9</v>
      </c>
      <c r="AD285">
        <v>156.9</v>
      </c>
    </row>
    <row r="286" spans="1:30" x14ac:dyDescent="0.25">
      <c r="A286" t="s">
        <v>34</v>
      </c>
      <c r="B286">
        <v>2020</v>
      </c>
      <c r="C286" t="s">
        <v>46</v>
      </c>
      <c r="D286">
        <v>146</v>
      </c>
      <c r="E286">
        <v>191</v>
      </c>
      <c r="F286">
        <v>175.3</v>
      </c>
      <c r="G286">
        <v>154.1</v>
      </c>
      <c r="H286">
        <v>146.6</v>
      </c>
      <c r="I286">
        <v>147.69999999999999</v>
      </c>
      <c r="J286">
        <v>230.5</v>
      </c>
      <c r="K286">
        <v>160.19999999999999</v>
      </c>
      <c r="L286">
        <v>115.3</v>
      </c>
      <c r="M286">
        <v>163</v>
      </c>
      <c r="N286">
        <v>149.19999999999999</v>
      </c>
      <c r="O286">
        <v>164.8</v>
      </c>
      <c r="P286">
        <v>165.4</v>
      </c>
      <c r="Q286">
        <v>185.4</v>
      </c>
      <c r="R286">
        <v>155</v>
      </c>
      <c r="S286">
        <v>145.4</v>
      </c>
      <c r="T286">
        <v>153.6</v>
      </c>
      <c r="U286">
        <v>158.4</v>
      </c>
      <c r="V286">
        <v>144.6</v>
      </c>
      <c r="W286">
        <v>149.69999999999999</v>
      </c>
      <c r="X286">
        <v>158.30000000000001</v>
      </c>
      <c r="Y286">
        <v>140.69999999999999</v>
      </c>
      <c r="Z286">
        <v>148.5</v>
      </c>
      <c r="AA286">
        <v>159.4</v>
      </c>
      <c r="AB286">
        <v>157.1</v>
      </c>
      <c r="AC286">
        <v>151.19999999999999</v>
      </c>
      <c r="AD286">
        <v>158.9</v>
      </c>
    </row>
    <row r="287" spans="1:30" x14ac:dyDescent="0.25">
      <c r="A287" t="s">
        <v>30</v>
      </c>
      <c r="B287">
        <v>2021</v>
      </c>
      <c r="C287" t="s">
        <v>31</v>
      </c>
      <c r="D287">
        <v>143.4</v>
      </c>
      <c r="E287">
        <v>187.5</v>
      </c>
      <c r="F287">
        <v>173.4</v>
      </c>
      <c r="G287">
        <v>154</v>
      </c>
      <c r="H287">
        <v>154.80000000000001</v>
      </c>
      <c r="I287">
        <v>147</v>
      </c>
      <c r="J287">
        <v>187.8</v>
      </c>
      <c r="K287">
        <v>159.5</v>
      </c>
      <c r="L287">
        <v>113.8</v>
      </c>
      <c r="M287">
        <v>164.5</v>
      </c>
      <c r="N287">
        <v>156.1</v>
      </c>
      <c r="O287">
        <v>164.3</v>
      </c>
      <c r="P287">
        <v>159.6</v>
      </c>
      <c r="Q287">
        <v>184.6</v>
      </c>
      <c r="R287">
        <v>157.5</v>
      </c>
      <c r="S287">
        <v>152.4</v>
      </c>
      <c r="T287">
        <v>156.80000000000001</v>
      </c>
      <c r="U287" t="s">
        <v>32</v>
      </c>
      <c r="V287">
        <v>150.9</v>
      </c>
      <c r="W287">
        <v>153.9</v>
      </c>
      <c r="X287">
        <v>162.5</v>
      </c>
      <c r="Y287">
        <v>147.5</v>
      </c>
      <c r="Z287">
        <v>155.1</v>
      </c>
      <c r="AA287">
        <v>163.5</v>
      </c>
      <c r="AB287">
        <v>156.19999999999999</v>
      </c>
      <c r="AC287">
        <v>155.9</v>
      </c>
      <c r="AD287">
        <v>158.5</v>
      </c>
    </row>
    <row r="288" spans="1:30" x14ac:dyDescent="0.25">
      <c r="A288" t="s">
        <v>33</v>
      </c>
      <c r="B288">
        <v>2021</v>
      </c>
      <c r="C288" t="s">
        <v>31</v>
      </c>
      <c r="D288">
        <v>148</v>
      </c>
      <c r="E288">
        <v>194.8</v>
      </c>
      <c r="F288">
        <v>178.4</v>
      </c>
      <c r="G288">
        <v>154.4</v>
      </c>
      <c r="H288">
        <v>144.1</v>
      </c>
      <c r="I288">
        <v>152.6</v>
      </c>
      <c r="J288">
        <v>206.8</v>
      </c>
      <c r="K288">
        <v>162.1</v>
      </c>
      <c r="L288">
        <v>116.3</v>
      </c>
      <c r="M288">
        <v>163</v>
      </c>
      <c r="N288">
        <v>145.9</v>
      </c>
      <c r="O288">
        <v>167.2</v>
      </c>
      <c r="P288">
        <v>163.4</v>
      </c>
      <c r="Q288">
        <v>191.8</v>
      </c>
      <c r="R288">
        <v>152.5</v>
      </c>
      <c r="S288">
        <v>137.30000000000001</v>
      </c>
      <c r="T288">
        <v>150.19999999999999</v>
      </c>
      <c r="U288">
        <v>157.69999999999999</v>
      </c>
      <c r="V288">
        <v>142.9</v>
      </c>
      <c r="W288">
        <v>145.69999999999999</v>
      </c>
      <c r="X288">
        <v>154.1</v>
      </c>
      <c r="Y288">
        <v>136.9</v>
      </c>
      <c r="Z288">
        <v>145.4</v>
      </c>
      <c r="AA288">
        <v>156.1</v>
      </c>
      <c r="AB288">
        <v>157.69999999999999</v>
      </c>
      <c r="AC288">
        <v>147.6</v>
      </c>
      <c r="AD288">
        <v>156</v>
      </c>
    </row>
    <row r="289" spans="1:30" x14ac:dyDescent="0.25">
      <c r="A289" t="s">
        <v>34</v>
      </c>
      <c r="B289">
        <v>2021</v>
      </c>
      <c r="C289" t="s">
        <v>31</v>
      </c>
      <c r="D289">
        <v>144.9</v>
      </c>
      <c r="E289">
        <v>190.1</v>
      </c>
      <c r="F289">
        <v>175.3</v>
      </c>
      <c r="G289">
        <v>154.1</v>
      </c>
      <c r="H289">
        <v>150.9</v>
      </c>
      <c r="I289">
        <v>149.6</v>
      </c>
      <c r="J289">
        <v>194.2</v>
      </c>
      <c r="K289">
        <v>160.4</v>
      </c>
      <c r="L289">
        <v>114.6</v>
      </c>
      <c r="M289">
        <v>164</v>
      </c>
      <c r="N289">
        <v>151.80000000000001</v>
      </c>
      <c r="O289">
        <v>165.6</v>
      </c>
      <c r="P289">
        <v>161</v>
      </c>
      <c r="Q289">
        <v>186.5</v>
      </c>
      <c r="R289">
        <v>155.5</v>
      </c>
      <c r="S289">
        <v>146.1</v>
      </c>
      <c r="T289">
        <v>154.19999999999999</v>
      </c>
      <c r="U289">
        <v>157.69999999999999</v>
      </c>
      <c r="V289">
        <v>147.9</v>
      </c>
      <c r="W289">
        <v>150</v>
      </c>
      <c r="X289">
        <v>159.30000000000001</v>
      </c>
      <c r="Y289">
        <v>141.9</v>
      </c>
      <c r="Z289">
        <v>149.6</v>
      </c>
      <c r="AA289">
        <v>159.19999999999999</v>
      </c>
      <c r="AB289">
        <v>156.80000000000001</v>
      </c>
      <c r="AC289">
        <v>151.9</v>
      </c>
      <c r="AD289">
        <v>157.30000000000001</v>
      </c>
    </row>
    <row r="290" spans="1:30" x14ac:dyDescent="0.25">
      <c r="A290" t="s">
        <v>30</v>
      </c>
      <c r="B290">
        <v>2021</v>
      </c>
      <c r="C290" t="s">
        <v>35</v>
      </c>
      <c r="D290">
        <v>142.80000000000001</v>
      </c>
      <c r="E290">
        <v>184</v>
      </c>
      <c r="F290">
        <v>168</v>
      </c>
      <c r="G290">
        <v>154.4</v>
      </c>
      <c r="H290">
        <v>163</v>
      </c>
      <c r="I290">
        <v>147.80000000000001</v>
      </c>
      <c r="J290">
        <v>149.69999999999999</v>
      </c>
      <c r="K290">
        <v>158.30000000000001</v>
      </c>
      <c r="L290">
        <v>111.8</v>
      </c>
      <c r="M290">
        <v>165</v>
      </c>
      <c r="N290">
        <v>160</v>
      </c>
      <c r="O290">
        <v>165.8</v>
      </c>
      <c r="P290">
        <v>154.69999999999999</v>
      </c>
      <c r="Q290">
        <v>186.5</v>
      </c>
      <c r="R290">
        <v>159.1</v>
      </c>
      <c r="S290">
        <v>153.9</v>
      </c>
      <c r="T290">
        <v>158.4</v>
      </c>
      <c r="U290" t="s">
        <v>32</v>
      </c>
      <c r="V290">
        <v>154.4</v>
      </c>
      <c r="W290">
        <v>154.80000000000001</v>
      </c>
      <c r="X290">
        <v>164.3</v>
      </c>
      <c r="Y290">
        <v>150.19999999999999</v>
      </c>
      <c r="Z290">
        <v>157</v>
      </c>
      <c r="AA290">
        <v>163.6</v>
      </c>
      <c r="AB290">
        <v>155.19999999999999</v>
      </c>
      <c r="AC290">
        <v>157.19999999999999</v>
      </c>
      <c r="AD290">
        <v>156.69999999999999</v>
      </c>
    </row>
    <row r="291" spans="1:30" x14ac:dyDescent="0.25">
      <c r="A291" t="s">
        <v>33</v>
      </c>
      <c r="B291">
        <v>2021</v>
      </c>
      <c r="C291" t="s">
        <v>35</v>
      </c>
      <c r="D291">
        <v>147.6</v>
      </c>
      <c r="E291">
        <v>191.2</v>
      </c>
      <c r="F291">
        <v>169.9</v>
      </c>
      <c r="G291">
        <v>155.1</v>
      </c>
      <c r="H291">
        <v>151.4</v>
      </c>
      <c r="I291">
        <v>154</v>
      </c>
      <c r="J291">
        <v>180.2</v>
      </c>
      <c r="K291">
        <v>159.80000000000001</v>
      </c>
      <c r="L291">
        <v>114.9</v>
      </c>
      <c r="M291">
        <v>162.5</v>
      </c>
      <c r="N291">
        <v>149.19999999999999</v>
      </c>
      <c r="O291">
        <v>169.4</v>
      </c>
      <c r="P291">
        <v>160.80000000000001</v>
      </c>
      <c r="Q291">
        <v>193.3</v>
      </c>
      <c r="R291">
        <v>154.19999999999999</v>
      </c>
      <c r="S291">
        <v>138.19999999999999</v>
      </c>
      <c r="T291">
        <v>151.80000000000001</v>
      </c>
      <c r="U291">
        <v>159.80000000000001</v>
      </c>
      <c r="V291">
        <v>149.1</v>
      </c>
      <c r="W291">
        <v>146.5</v>
      </c>
      <c r="X291">
        <v>156.30000000000001</v>
      </c>
      <c r="Y291">
        <v>140.5</v>
      </c>
      <c r="Z291">
        <v>147.30000000000001</v>
      </c>
      <c r="AA291">
        <v>156.6</v>
      </c>
      <c r="AB291">
        <v>156.69999999999999</v>
      </c>
      <c r="AC291">
        <v>149.30000000000001</v>
      </c>
      <c r="AD291">
        <v>156.5</v>
      </c>
    </row>
    <row r="292" spans="1:30" x14ac:dyDescent="0.25">
      <c r="A292" t="s">
        <v>34</v>
      </c>
      <c r="B292">
        <v>2021</v>
      </c>
      <c r="C292" t="s">
        <v>35</v>
      </c>
      <c r="D292">
        <v>144.30000000000001</v>
      </c>
      <c r="E292">
        <v>186.5</v>
      </c>
      <c r="F292">
        <v>168.7</v>
      </c>
      <c r="G292">
        <v>154.69999999999999</v>
      </c>
      <c r="H292">
        <v>158.69999999999999</v>
      </c>
      <c r="I292">
        <v>150.69999999999999</v>
      </c>
      <c r="J292">
        <v>160</v>
      </c>
      <c r="K292">
        <v>158.80000000000001</v>
      </c>
      <c r="L292">
        <v>112.8</v>
      </c>
      <c r="M292">
        <v>164.2</v>
      </c>
      <c r="N292">
        <v>155.5</v>
      </c>
      <c r="O292">
        <v>167.5</v>
      </c>
      <c r="P292">
        <v>156.9</v>
      </c>
      <c r="Q292">
        <v>188.3</v>
      </c>
      <c r="R292">
        <v>157.19999999999999</v>
      </c>
      <c r="S292">
        <v>147.4</v>
      </c>
      <c r="T292">
        <v>155.80000000000001</v>
      </c>
      <c r="U292">
        <v>159.80000000000001</v>
      </c>
      <c r="V292">
        <v>152.4</v>
      </c>
      <c r="W292">
        <v>150.9</v>
      </c>
      <c r="X292">
        <v>161.30000000000001</v>
      </c>
      <c r="Y292">
        <v>145.1</v>
      </c>
      <c r="Z292">
        <v>151.5</v>
      </c>
      <c r="AA292">
        <v>159.5</v>
      </c>
      <c r="AB292">
        <v>155.80000000000001</v>
      </c>
      <c r="AC292">
        <v>153.4</v>
      </c>
      <c r="AD292">
        <v>156.6</v>
      </c>
    </row>
    <row r="293" spans="1:30" x14ac:dyDescent="0.25">
      <c r="A293" t="s">
        <v>30</v>
      </c>
      <c r="B293">
        <v>2021</v>
      </c>
      <c r="C293" t="s">
        <v>36</v>
      </c>
      <c r="D293">
        <v>142.5</v>
      </c>
      <c r="E293">
        <v>189.4</v>
      </c>
      <c r="F293">
        <v>163.19999999999999</v>
      </c>
      <c r="G293">
        <v>154.5</v>
      </c>
      <c r="H293">
        <v>168.2</v>
      </c>
      <c r="I293">
        <v>150.5</v>
      </c>
      <c r="J293">
        <v>141</v>
      </c>
      <c r="K293">
        <v>159.19999999999999</v>
      </c>
      <c r="L293">
        <v>111.7</v>
      </c>
      <c r="M293">
        <v>164</v>
      </c>
      <c r="N293">
        <v>160.6</v>
      </c>
      <c r="O293">
        <v>166.4</v>
      </c>
      <c r="P293">
        <v>154.5</v>
      </c>
      <c r="Q293">
        <v>186.1</v>
      </c>
      <c r="R293">
        <v>159.6</v>
      </c>
      <c r="S293">
        <v>154.4</v>
      </c>
      <c r="T293">
        <v>158.9</v>
      </c>
      <c r="U293" t="s">
        <v>48</v>
      </c>
      <c r="V293">
        <v>156</v>
      </c>
      <c r="W293">
        <v>154.80000000000001</v>
      </c>
      <c r="X293">
        <v>164.6</v>
      </c>
      <c r="Y293">
        <v>151.30000000000001</v>
      </c>
      <c r="Z293">
        <v>157.80000000000001</v>
      </c>
      <c r="AA293">
        <v>163.80000000000001</v>
      </c>
      <c r="AB293">
        <v>153.1</v>
      </c>
      <c r="AC293">
        <v>157.30000000000001</v>
      </c>
      <c r="AD293">
        <v>156.69999999999999</v>
      </c>
    </row>
    <row r="294" spans="1:30" x14ac:dyDescent="0.25">
      <c r="A294" t="s">
        <v>33</v>
      </c>
      <c r="B294">
        <v>2021</v>
      </c>
      <c r="C294" t="s">
        <v>36</v>
      </c>
      <c r="D294">
        <v>147.5</v>
      </c>
      <c r="E294">
        <v>197.5</v>
      </c>
      <c r="F294">
        <v>164.7</v>
      </c>
      <c r="G294">
        <v>155.6</v>
      </c>
      <c r="H294">
        <v>156.4</v>
      </c>
      <c r="I294">
        <v>157.30000000000001</v>
      </c>
      <c r="J294">
        <v>166.1</v>
      </c>
      <c r="K294">
        <v>161.1</v>
      </c>
      <c r="L294">
        <v>114.3</v>
      </c>
      <c r="M294">
        <v>162.6</v>
      </c>
      <c r="N294">
        <v>150.69999999999999</v>
      </c>
      <c r="O294">
        <v>170.3</v>
      </c>
      <c r="P294">
        <v>160.4</v>
      </c>
      <c r="Q294">
        <v>193.5</v>
      </c>
      <c r="R294">
        <v>155.1</v>
      </c>
      <c r="S294">
        <v>138.69999999999999</v>
      </c>
      <c r="T294">
        <v>152.6</v>
      </c>
      <c r="U294">
        <v>159.9</v>
      </c>
      <c r="V294">
        <v>154.80000000000001</v>
      </c>
      <c r="W294">
        <v>147.19999999999999</v>
      </c>
      <c r="X294">
        <v>156.9</v>
      </c>
      <c r="Y294">
        <v>141.69999999999999</v>
      </c>
      <c r="Z294">
        <v>148.6</v>
      </c>
      <c r="AA294">
        <v>157.6</v>
      </c>
      <c r="AB294">
        <v>154.9</v>
      </c>
      <c r="AC294">
        <v>150</v>
      </c>
      <c r="AD294">
        <v>156.9</v>
      </c>
    </row>
    <row r="295" spans="1:30" x14ac:dyDescent="0.25">
      <c r="A295" t="s">
        <v>34</v>
      </c>
      <c r="B295">
        <v>2021</v>
      </c>
      <c r="C295" t="s">
        <v>36</v>
      </c>
      <c r="D295">
        <v>144.1</v>
      </c>
      <c r="E295">
        <v>192.2</v>
      </c>
      <c r="F295">
        <v>163.80000000000001</v>
      </c>
      <c r="G295">
        <v>154.9</v>
      </c>
      <c r="H295">
        <v>163.9</v>
      </c>
      <c r="I295">
        <v>153.69999999999999</v>
      </c>
      <c r="J295">
        <v>149.5</v>
      </c>
      <c r="K295">
        <v>159.80000000000001</v>
      </c>
      <c r="L295">
        <v>112.6</v>
      </c>
      <c r="M295">
        <v>163.5</v>
      </c>
      <c r="N295">
        <v>156.5</v>
      </c>
      <c r="O295">
        <v>168.2</v>
      </c>
      <c r="P295">
        <v>156.69999999999999</v>
      </c>
      <c r="Q295">
        <v>188.1</v>
      </c>
      <c r="R295">
        <v>157.80000000000001</v>
      </c>
      <c r="S295">
        <v>147.9</v>
      </c>
      <c r="T295">
        <v>156.4</v>
      </c>
      <c r="U295">
        <v>159.9</v>
      </c>
      <c r="V295">
        <v>155.5</v>
      </c>
      <c r="W295">
        <v>151.19999999999999</v>
      </c>
      <c r="X295">
        <v>161.69999999999999</v>
      </c>
      <c r="Y295">
        <v>146.19999999999999</v>
      </c>
      <c r="Z295">
        <v>152.6</v>
      </c>
      <c r="AA295">
        <v>160.19999999999999</v>
      </c>
      <c r="AB295">
        <v>153.80000000000001</v>
      </c>
      <c r="AC295">
        <v>153.80000000000001</v>
      </c>
      <c r="AD295">
        <v>156.80000000000001</v>
      </c>
    </row>
    <row r="296" spans="1:30" x14ac:dyDescent="0.25">
      <c r="A296" t="s">
        <v>30</v>
      </c>
      <c r="B296">
        <v>2021</v>
      </c>
      <c r="C296" t="s">
        <v>37</v>
      </c>
      <c r="D296">
        <v>142.69999999999999</v>
      </c>
      <c r="E296">
        <v>195.5</v>
      </c>
      <c r="F296">
        <v>163.4</v>
      </c>
      <c r="G296">
        <v>155</v>
      </c>
      <c r="H296">
        <v>175.2</v>
      </c>
      <c r="I296">
        <v>160.6</v>
      </c>
      <c r="J296">
        <v>135.1</v>
      </c>
      <c r="K296">
        <v>161.1</v>
      </c>
      <c r="L296">
        <v>112.2</v>
      </c>
      <c r="M296">
        <v>164.4</v>
      </c>
      <c r="N296">
        <v>161.9</v>
      </c>
      <c r="O296">
        <v>166.8</v>
      </c>
      <c r="P296">
        <v>155.6</v>
      </c>
      <c r="Q296">
        <v>186.8</v>
      </c>
      <c r="R296">
        <v>160.69999999999999</v>
      </c>
      <c r="S296">
        <v>155.1</v>
      </c>
      <c r="T296">
        <v>159.9</v>
      </c>
      <c r="U296" t="s">
        <v>48</v>
      </c>
      <c r="V296">
        <v>156</v>
      </c>
      <c r="W296">
        <v>155.5</v>
      </c>
      <c r="X296">
        <v>165.3</v>
      </c>
      <c r="Y296">
        <v>151.69999999999999</v>
      </c>
      <c r="Z296">
        <v>158.6</v>
      </c>
      <c r="AA296">
        <v>164.1</v>
      </c>
      <c r="AB296">
        <v>154.6</v>
      </c>
      <c r="AC296">
        <v>158</v>
      </c>
      <c r="AD296">
        <v>157.6</v>
      </c>
    </row>
    <row r="297" spans="1:30" x14ac:dyDescent="0.25">
      <c r="A297" t="s">
        <v>33</v>
      </c>
      <c r="B297">
        <v>2021</v>
      </c>
      <c r="C297" t="s">
        <v>37</v>
      </c>
      <c r="D297">
        <v>147.6</v>
      </c>
      <c r="E297">
        <v>202.5</v>
      </c>
      <c r="F297">
        <v>166.4</v>
      </c>
      <c r="G297">
        <v>156</v>
      </c>
      <c r="H297">
        <v>161.4</v>
      </c>
      <c r="I297">
        <v>168.8</v>
      </c>
      <c r="J297">
        <v>161.6</v>
      </c>
      <c r="K297">
        <v>162.80000000000001</v>
      </c>
      <c r="L297">
        <v>114.8</v>
      </c>
      <c r="M297">
        <v>162.80000000000001</v>
      </c>
      <c r="N297">
        <v>151.5</v>
      </c>
      <c r="O297">
        <v>171.4</v>
      </c>
      <c r="P297">
        <v>162</v>
      </c>
      <c r="Q297">
        <v>194.4</v>
      </c>
      <c r="R297">
        <v>155.9</v>
      </c>
      <c r="S297">
        <v>139.30000000000001</v>
      </c>
      <c r="T297">
        <v>153.4</v>
      </c>
      <c r="U297">
        <v>161.4</v>
      </c>
      <c r="V297">
        <v>154.9</v>
      </c>
      <c r="W297">
        <v>147.6</v>
      </c>
      <c r="X297">
        <v>157.5</v>
      </c>
      <c r="Y297">
        <v>142.1</v>
      </c>
      <c r="Z297">
        <v>149.1</v>
      </c>
      <c r="AA297">
        <v>157.6</v>
      </c>
      <c r="AB297">
        <v>156.6</v>
      </c>
      <c r="AC297">
        <v>150.5</v>
      </c>
      <c r="AD297">
        <v>158</v>
      </c>
    </row>
    <row r="298" spans="1:30" x14ac:dyDescent="0.25">
      <c r="A298" t="s">
        <v>34</v>
      </c>
      <c r="B298">
        <v>2021</v>
      </c>
      <c r="C298" t="s">
        <v>37</v>
      </c>
      <c r="D298">
        <v>144.30000000000001</v>
      </c>
      <c r="E298">
        <v>198</v>
      </c>
      <c r="F298">
        <v>164.6</v>
      </c>
      <c r="G298">
        <v>155.4</v>
      </c>
      <c r="H298">
        <v>170.1</v>
      </c>
      <c r="I298">
        <v>164.4</v>
      </c>
      <c r="J298">
        <v>144.1</v>
      </c>
      <c r="K298">
        <v>161.69999999999999</v>
      </c>
      <c r="L298">
        <v>113.1</v>
      </c>
      <c r="M298">
        <v>163.9</v>
      </c>
      <c r="N298">
        <v>157.6</v>
      </c>
      <c r="O298">
        <v>168.9</v>
      </c>
      <c r="P298">
        <v>158</v>
      </c>
      <c r="Q298">
        <v>188.8</v>
      </c>
      <c r="R298">
        <v>158.80000000000001</v>
      </c>
      <c r="S298">
        <v>148.5</v>
      </c>
      <c r="T298">
        <v>157.30000000000001</v>
      </c>
      <c r="U298">
        <v>161.4</v>
      </c>
      <c r="V298">
        <v>155.6</v>
      </c>
      <c r="W298">
        <v>151.80000000000001</v>
      </c>
      <c r="X298">
        <v>162.30000000000001</v>
      </c>
      <c r="Y298">
        <v>146.6</v>
      </c>
      <c r="Z298">
        <v>153.19999999999999</v>
      </c>
      <c r="AA298">
        <v>160.30000000000001</v>
      </c>
      <c r="AB298">
        <v>155.4</v>
      </c>
      <c r="AC298">
        <v>154.4</v>
      </c>
      <c r="AD298">
        <v>157.80000000000001</v>
      </c>
    </row>
    <row r="299" spans="1:30" x14ac:dyDescent="0.25">
      <c r="A299" t="s">
        <v>30</v>
      </c>
      <c r="B299">
        <v>2021</v>
      </c>
      <c r="C299" t="s">
        <v>38</v>
      </c>
      <c r="D299">
        <v>145.1</v>
      </c>
      <c r="E299">
        <v>198.5</v>
      </c>
      <c r="F299">
        <v>168.6</v>
      </c>
      <c r="G299">
        <v>155.80000000000001</v>
      </c>
      <c r="H299">
        <v>184.4</v>
      </c>
      <c r="I299">
        <v>162.30000000000001</v>
      </c>
      <c r="J299">
        <v>138.4</v>
      </c>
      <c r="K299">
        <v>165.1</v>
      </c>
      <c r="L299">
        <v>114.3</v>
      </c>
      <c r="M299">
        <v>169.7</v>
      </c>
      <c r="N299">
        <v>164.6</v>
      </c>
      <c r="O299">
        <v>169.8</v>
      </c>
      <c r="P299">
        <v>158.69999999999999</v>
      </c>
      <c r="Q299">
        <v>189.6</v>
      </c>
      <c r="R299">
        <v>165.3</v>
      </c>
      <c r="S299">
        <v>160.6</v>
      </c>
      <c r="T299">
        <v>164.5</v>
      </c>
      <c r="U299" t="s">
        <v>32</v>
      </c>
      <c r="V299">
        <v>161.69999999999999</v>
      </c>
      <c r="W299">
        <v>158.80000000000001</v>
      </c>
      <c r="X299">
        <v>169.1</v>
      </c>
      <c r="Y299">
        <v>153.19999999999999</v>
      </c>
      <c r="Z299">
        <v>160</v>
      </c>
      <c r="AA299">
        <v>167.6</v>
      </c>
      <c r="AB299">
        <v>159.30000000000001</v>
      </c>
      <c r="AC299">
        <v>161.1</v>
      </c>
      <c r="AD299">
        <v>161.1</v>
      </c>
    </row>
    <row r="300" spans="1:30" x14ac:dyDescent="0.25">
      <c r="A300" t="s">
        <v>33</v>
      </c>
      <c r="B300">
        <v>2021</v>
      </c>
      <c r="C300" t="s">
        <v>38</v>
      </c>
      <c r="D300">
        <v>148.80000000000001</v>
      </c>
      <c r="E300">
        <v>204.3</v>
      </c>
      <c r="F300">
        <v>173</v>
      </c>
      <c r="G300">
        <v>156.5</v>
      </c>
      <c r="H300">
        <v>168.8</v>
      </c>
      <c r="I300">
        <v>172.5</v>
      </c>
      <c r="J300">
        <v>166.5</v>
      </c>
      <c r="K300">
        <v>165.9</v>
      </c>
      <c r="L300">
        <v>115.9</v>
      </c>
      <c r="M300">
        <v>165.2</v>
      </c>
      <c r="N300">
        <v>152</v>
      </c>
      <c r="O300">
        <v>171.1</v>
      </c>
      <c r="P300">
        <v>164.2</v>
      </c>
      <c r="Q300">
        <v>198.2</v>
      </c>
      <c r="R300">
        <v>156.5</v>
      </c>
      <c r="S300">
        <v>140.19999999999999</v>
      </c>
      <c r="T300">
        <v>154.1</v>
      </c>
      <c r="U300">
        <v>161.6</v>
      </c>
      <c r="V300">
        <v>155.5</v>
      </c>
      <c r="W300">
        <v>150.1</v>
      </c>
      <c r="X300">
        <v>160.4</v>
      </c>
      <c r="Y300">
        <v>145</v>
      </c>
      <c r="Z300">
        <v>152.6</v>
      </c>
      <c r="AA300">
        <v>156.6</v>
      </c>
      <c r="AB300">
        <v>157.5</v>
      </c>
      <c r="AC300">
        <v>152.30000000000001</v>
      </c>
      <c r="AD300">
        <v>159.5</v>
      </c>
    </row>
    <row r="301" spans="1:30" x14ac:dyDescent="0.25">
      <c r="A301" t="s">
        <v>34</v>
      </c>
      <c r="B301">
        <v>2021</v>
      </c>
      <c r="C301" t="s">
        <v>38</v>
      </c>
      <c r="D301">
        <v>146.30000000000001</v>
      </c>
      <c r="E301">
        <v>200.5</v>
      </c>
      <c r="F301">
        <v>170.3</v>
      </c>
      <c r="G301">
        <v>156.1</v>
      </c>
      <c r="H301">
        <v>178.7</v>
      </c>
      <c r="I301">
        <v>167.1</v>
      </c>
      <c r="J301">
        <v>147.9</v>
      </c>
      <c r="K301">
        <v>165.4</v>
      </c>
      <c r="L301">
        <v>114.8</v>
      </c>
      <c r="M301">
        <v>168.2</v>
      </c>
      <c r="N301">
        <v>159.30000000000001</v>
      </c>
      <c r="O301">
        <v>170.4</v>
      </c>
      <c r="P301">
        <v>160.69999999999999</v>
      </c>
      <c r="Q301">
        <v>191.9</v>
      </c>
      <c r="R301">
        <v>161.80000000000001</v>
      </c>
      <c r="S301">
        <v>152.1</v>
      </c>
      <c r="T301">
        <v>160.4</v>
      </c>
      <c r="U301">
        <v>161.6</v>
      </c>
      <c r="V301">
        <v>159.4</v>
      </c>
      <c r="W301">
        <v>154.69999999999999</v>
      </c>
      <c r="X301">
        <v>165.8</v>
      </c>
      <c r="Y301">
        <v>148.9</v>
      </c>
      <c r="Z301">
        <v>155.80000000000001</v>
      </c>
      <c r="AA301">
        <v>161.19999999999999</v>
      </c>
      <c r="AB301">
        <v>158.6</v>
      </c>
      <c r="AC301">
        <v>156.80000000000001</v>
      </c>
      <c r="AD301">
        <v>160.4</v>
      </c>
    </row>
    <row r="302" spans="1:30" x14ac:dyDescent="0.25">
      <c r="A302" t="s">
        <v>30</v>
      </c>
      <c r="B302">
        <v>2021</v>
      </c>
      <c r="C302" t="s">
        <v>39</v>
      </c>
      <c r="D302">
        <v>145.6</v>
      </c>
      <c r="E302">
        <v>200.1</v>
      </c>
      <c r="F302">
        <v>179.3</v>
      </c>
      <c r="G302">
        <v>156.1</v>
      </c>
      <c r="H302">
        <v>190.4</v>
      </c>
      <c r="I302">
        <v>158.6</v>
      </c>
      <c r="J302">
        <v>144.69999999999999</v>
      </c>
      <c r="K302">
        <v>165.5</v>
      </c>
      <c r="L302">
        <v>114.6</v>
      </c>
      <c r="M302">
        <v>170</v>
      </c>
      <c r="N302">
        <v>165.5</v>
      </c>
      <c r="O302">
        <v>171.7</v>
      </c>
      <c r="P302">
        <v>160.5</v>
      </c>
      <c r="Q302">
        <v>189.1</v>
      </c>
      <c r="R302">
        <v>165.3</v>
      </c>
      <c r="S302">
        <v>159.9</v>
      </c>
      <c r="T302">
        <v>164.6</v>
      </c>
      <c r="U302" t="s">
        <v>32</v>
      </c>
      <c r="V302">
        <v>162.1</v>
      </c>
      <c r="W302">
        <v>159.19999999999999</v>
      </c>
      <c r="X302">
        <v>169.7</v>
      </c>
      <c r="Y302">
        <v>154.19999999999999</v>
      </c>
      <c r="Z302">
        <v>160.4</v>
      </c>
      <c r="AA302">
        <v>166.8</v>
      </c>
      <c r="AB302">
        <v>159.4</v>
      </c>
      <c r="AC302">
        <v>161.5</v>
      </c>
      <c r="AD302">
        <v>162.1</v>
      </c>
    </row>
    <row r="303" spans="1:30" x14ac:dyDescent="0.25">
      <c r="A303" t="s">
        <v>33</v>
      </c>
      <c r="B303">
        <v>2021</v>
      </c>
      <c r="C303" t="s">
        <v>39</v>
      </c>
      <c r="D303">
        <v>149.19999999999999</v>
      </c>
      <c r="E303">
        <v>205.5</v>
      </c>
      <c r="F303">
        <v>182.8</v>
      </c>
      <c r="G303">
        <v>156.5</v>
      </c>
      <c r="H303">
        <v>172.2</v>
      </c>
      <c r="I303">
        <v>171.5</v>
      </c>
      <c r="J303">
        <v>176.2</v>
      </c>
      <c r="K303">
        <v>166.9</v>
      </c>
      <c r="L303">
        <v>116.1</v>
      </c>
      <c r="M303">
        <v>165.5</v>
      </c>
      <c r="N303">
        <v>152.30000000000001</v>
      </c>
      <c r="O303">
        <v>173.3</v>
      </c>
      <c r="P303">
        <v>166.2</v>
      </c>
      <c r="Q303">
        <v>195.6</v>
      </c>
      <c r="R303">
        <v>157.30000000000001</v>
      </c>
      <c r="S303">
        <v>140.5</v>
      </c>
      <c r="T303">
        <v>154.80000000000001</v>
      </c>
      <c r="U303">
        <v>160.5</v>
      </c>
      <c r="V303">
        <v>156.1</v>
      </c>
      <c r="W303">
        <v>149.80000000000001</v>
      </c>
      <c r="X303">
        <v>160.80000000000001</v>
      </c>
      <c r="Y303">
        <v>147.5</v>
      </c>
      <c r="Z303">
        <v>150.69999999999999</v>
      </c>
      <c r="AA303">
        <v>158.1</v>
      </c>
      <c r="AB303">
        <v>158</v>
      </c>
      <c r="AC303">
        <v>153.4</v>
      </c>
      <c r="AD303">
        <v>160.4</v>
      </c>
    </row>
    <row r="304" spans="1:30" x14ac:dyDescent="0.25">
      <c r="A304" t="s">
        <v>34</v>
      </c>
      <c r="B304">
        <v>2021</v>
      </c>
      <c r="C304" t="s">
        <v>39</v>
      </c>
      <c r="D304">
        <v>146.69999999999999</v>
      </c>
      <c r="E304">
        <v>202</v>
      </c>
      <c r="F304">
        <v>180.7</v>
      </c>
      <c r="G304">
        <v>156.19999999999999</v>
      </c>
      <c r="H304">
        <v>183.7</v>
      </c>
      <c r="I304">
        <v>164.6</v>
      </c>
      <c r="J304">
        <v>155.4</v>
      </c>
      <c r="K304">
        <v>166</v>
      </c>
      <c r="L304">
        <v>115.1</v>
      </c>
      <c r="M304">
        <v>168.5</v>
      </c>
      <c r="N304">
        <v>160</v>
      </c>
      <c r="O304">
        <v>172.4</v>
      </c>
      <c r="P304">
        <v>162.6</v>
      </c>
      <c r="Q304">
        <v>190.8</v>
      </c>
      <c r="R304">
        <v>162.19999999999999</v>
      </c>
      <c r="S304">
        <v>151.80000000000001</v>
      </c>
      <c r="T304">
        <v>160.69999999999999</v>
      </c>
      <c r="U304">
        <v>160.5</v>
      </c>
      <c r="V304">
        <v>159.80000000000001</v>
      </c>
      <c r="W304">
        <v>154.80000000000001</v>
      </c>
      <c r="X304">
        <v>166.3</v>
      </c>
      <c r="Y304">
        <v>150.69999999999999</v>
      </c>
      <c r="Z304">
        <v>154.9</v>
      </c>
      <c r="AA304">
        <v>161.69999999999999</v>
      </c>
      <c r="AB304">
        <v>158.80000000000001</v>
      </c>
      <c r="AC304">
        <v>157.6</v>
      </c>
      <c r="AD304">
        <v>161.30000000000001</v>
      </c>
    </row>
    <row r="305" spans="1:30" x14ac:dyDescent="0.25">
      <c r="A305" t="s">
        <v>30</v>
      </c>
      <c r="B305">
        <v>2021</v>
      </c>
      <c r="C305" t="s">
        <v>40</v>
      </c>
      <c r="D305">
        <v>145.1</v>
      </c>
      <c r="E305">
        <v>204.5</v>
      </c>
      <c r="F305">
        <v>180.4</v>
      </c>
      <c r="G305">
        <v>157.1</v>
      </c>
      <c r="H305">
        <v>188.7</v>
      </c>
      <c r="I305">
        <v>157.69999999999999</v>
      </c>
      <c r="J305">
        <v>152.80000000000001</v>
      </c>
      <c r="K305">
        <v>163.6</v>
      </c>
      <c r="L305">
        <v>113.9</v>
      </c>
      <c r="M305">
        <v>169.7</v>
      </c>
      <c r="N305">
        <v>166.2</v>
      </c>
      <c r="O305">
        <v>171</v>
      </c>
      <c r="P305">
        <v>161.69999999999999</v>
      </c>
      <c r="Q305">
        <v>189.7</v>
      </c>
      <c r="R305">
        <v>166</v>
      </c>
      <c r="S305">
        <v>161.1</v>
      </c>
      <c r="T305">
        <v>165.3</v>
      </c>
      <c r="U305" t="s">
        <v>32</v>
      </c>
      <c r="V305">
        <v>162.5</v>
      </c>
      <c r="W305">
        <v>160.30000000000001</v>
      </c>
      <c r="X305">
        <v>170.4</v>
      </c>
      <c r="Y305">
        <v>157.1</v>
      </c>
      <c r="Z305">
        <v>160.69999999999999</v>
      </c>
      <c r="AA305">
        <v>167.2</v>
      </c>
      <c r="AB305">
        <v>160.4</v>
      </c>
      <c r="AC305">
        <v>162.80000000000001</v>
      </c>
      <c r="AD305">
        <v>163.19999999999999</v>
      </c>
    </row>
    <row r="306" spans="1:30" x14ac:dyDescent="0.25">
      <c r="A306" t="s">
        <v>33</v>
      </c>
      <c r="B306">
        <v>2021</v>
      </c>
      <c r="C306" t="s">
        <v>40</v>
      </c>
      <c r="D306">
        <v>149.1</v>
      </c>
      <c r="E306">
        <v>210.9</v>
      </c>
      <c r="F306">
        <v>185</v>
      </c>
      <c r="G306">
        <v>158.19999999999999</v>
      </c>
      <c r="H306">
        <v>170.6</v>
      </c>
      <c r="I306">
        <v>170.9</v>
      </c>
      <c r="J306">
        <v>186.4</v>
      </c>
      <c r="K306">
        <v>164.7</v>
      </c>
      <c r="L306">
        <v>115.7</v>
      </c>
      <c r="M306">
        <v>165.5</v>
      </c>
      <c r="N306">
        <v>153.4</v>
      </c>
      <c r="O306">
        <v>173.5</v>
      </c>
      <c r="P306">
        <v>167.9</v>
      </c>
      <c r="Q306">
        <v>195.5</v>
      </c>
      <c r="R306">
        <v>157.9</v>
      </c>
      <c r="S306">
        <v>141.9</v>
      </c>
      <c r="T306">
        <v>155.5</v>
      </c>
      <c r="U306">
        <v>161.5</v>
      </c>
      <c r="V306">
        <v>157.69999999999999</v>
      </c>
      <c r="W306">
        <v>150.69999999999999</v>
      </c>
      <c r="X306">
        <v>161.5</v>
      </c>
      <c r="Y306">
        <v>149.5</v>
      </c>
      <c r="Z306">
        <v>151.19999999999999</v>
      </c>
      <c r="AA306">
        <v>160.30000000000001</v>
      </c>
      <c r="AB306">
        <v>159.6</v>
      </c>
      <c r="AC306">
        <v>155</v>
      </c>
      <c r="AD306">
        <v>161.80000000000001</v>
      </c>
    </row>
    <row r="307" spans="1:30" x14ac:dyDescent="0.25">
      <c r="A307" t="s">
        <v>34</v>
      </c>
      <c r="B307">
        <v>2021</v>
      </c>
      <c r="C307" t="s">
        <v>40</v>
      </c>
      <c r="D307">
        <v>146.4</v>
      </c>
      <c r="E307">
        <v>206.8</v>
      </c>
      <c r="F307">
        <v>182.2</v>
      </c>
      <c r="G307">
        <v>157.5</v>
      </c>
      <c r="H307">
        <v>182.1</v>
      </c>
      <c r="I307">
        <v>163.9</v>
      </c>
      <c r="J307">
        <v>164.2</v>
      </c>
      <c r="K307">
        <v>164</v>
      </c>
      <c r="L307">
        <v>114.5</v>
      </c>
      <c r="M307">
        <v>168.3</v>
      </c>
      <c r="N307">
        <v>160.9</v>
      </c>
      <c r="O307">
        <v>172.2</v>
      </c>
      <c r="P307">
        <v>164</v>
      </c>
      <c r="Q307">
        <v>191.2</v>
      </c>
      <c r="R307">
        <v>162.80000000000001</v>
      </c>
      <c r="S307">
        <v>153.1</v>
      </c>
      <c r="T307">
        <v>161.4</v>
      </c>
      <c r="U307">
        <v>161.5</v>
      </c>
      <c r="V307">
        <v>160.69999999999999</v>
      </c>
      <c r="W307">
        <v>155.80000000000001</v>
      </c>
      <c r="X307">
        <v>167</v>
      </c>
      <c r="Y307">
        <v>153.1</v>
      </c>
      <c r="Z307">
        <v>155.30000000000001</v>
      </c>
      <c r="AA307">
        <v>163.19999999999999</v>
      </c>
      <c r="AB307">
        <v>160.1</v>
      </c>
      <c r="AC307">
        <v>159</v>
      </c>
      <c r="AD307">
        <v>162.5</v>
      </c>
    </row>
    <row r="308" spans="1:30" x14ac:dyDescent="0.25">
      <c r="A308" t="s">
        <v>30</v>
      </c>
      <c r="B308">
        <v>2021</v>
      </c>
      <c r="C308" t="s">
        <v>41</v>
      </c>
      <c r="D308">
        <v>144.9</v>
      </c>
      <c r="E308">
        <v>202.3</v>
      </c>
      <c r="F308">
        <v>176.5</v>
      </c>
      <c r="G308">
        <v>157.5</v>
      </c>
      <c r="H308">
        <v>190.9</v>
      </c>
      <c r="I308">
        <v>155.69999999999999</v>
      </c>
      <c r="J308">
        <v>153.9</v>
      </c>
      <c r="K308">
        <v>162.80000000000001</v>
      </c>
      <c r="L308">
        <v>115.2</v>
      </c>
      <c r="M308">
        <v>169.8</v>
      </c>
      <c r="N308">
        <v>167.6</v>
      </c>
      <c r="O308">
        <v>171.9</v>
      </c>
      <c r="P308">
        <v>161.80000000000001</v>
      </c>
      <c r="Q308">
        <v>190.2</v>
      </c>
      <c r="R308">
        <v>167</v>
      </c>
      <c r="S308">
        <v>162.6</v>
      </c>
      <c r="T308">
        <v>166.3</v>
      </c>
      <c r="U308" t="s">
        <v>32</v>
      </c>
      <c r="V308">
        <v>163.1</v>
      </c>
      <c r="W308">
        <v>160.9</v>
      </c>
      <c r="X308">
        <v>171.1</v>
      </c>
      <c r="Y308">
        <v>157.69999999999999</v>
      </c>
      <c r="Z308">
        <v>161.1</v>
      </c>
      <c r="AA308">
        <v>167.5</v>
      </c>
      <c r="AB308">
        <v>160.30000000000001</v>
      </c>
      <c r="AC308">
        <v>163.30000000000001</v>
      </c>
      <c r="AD308">
        <v>163.6</v>
      </c>
    </row>
    <row r="309" spans="1:30" x14ac:dyDescent="0.25">
      <c r="A309" t="s">
        <v>33</v>
      </c>
      <c r="B309">
        <v>2021</v>
      </c>
      <c r="C309" t="s">
        <v>41</v>
      </c>
      <c r="D309">
        <v>149.30000000000001</v>
      </c>
      <c r="E309">
        <v>207.4</v>
      </c>
      <c r="F309">
        <v>174.1</v>
      </c>
      <c r="G309">
        <v>159.19999999999999</v>
      </c>
      <c r="H309">
        <v>175</v>
      </c>
      <c r="I309">
        <v>161.30000000000001</v>
      </c>
      <c r="J309">
        <v>183.3</v>
      </c>
      <c r="K309">
        <v>164.5</v>
      </c>
      <c r="L309">
        <v>120.4</v>
      </c>
      <c r="M309">
        <v>166.2</v>
      </c>
      <c r="N309">
        <v>154.80000000000001</v>
      </c>
      <c r="O309">
        <v>175.1</v>
      </c>
      <c r="P309">
        <v>167.3</v>
      </c>
      <c r="Q309">
        <v>196.5</v>
      </c>
      <c r="R309">
        <v>159.80000000000001</v>
      </c>
      <c r="S309">
        <v>143.6</v>
      </c>
      <c r="T309">
        <v>157.30000000000001</v>
      </c>
      <c r="U309">
        <v>162.1</v>
      </c>
      <c r="V309">
        <v>160.69999999999999</v>
      </c>
      <c r="W309">
        <v>153.19999999999999</v>
      </c>
      <c r="X309">
        <v>162.80000000000001</v>
      </c>
      <c r="Y309">
        <v>150.4</v>
      </c>
      <c r="Z309">
        <v>153.69999999999999</v>
      </c>
      <c r="AA309">
        <v>160.4</v>
      </c>
      <c r="AB309">
        <v>159.6</v>
      </c>
      <c r="AC309">
        <v>156</v>
      </c>
      <c r="AD309">
        <v>162.30000000000001</v>
      </c>
    </row>
    <row r="310" spans="1:30" x14ac:dyDescent="0.25">
      <c r="A310" t="s">
        <v>34</v>
      </c>
      <c r="B310">
        <v>2021</v>
      </c>
      <c r="C310" t="s">
        <v>41</v>
      </c>
      <c r="D310">
        <v>146.6</v>
      </c>
      <c r="E310">
        <v>204</v>
      </c>
      <c r="F310">
        <v>172.8</v>
      </c>
      <c r="G310">
        <v>158.4</v>
      </c>
      <c r="H310">
        <v>188</v>
      </c>
      <c r="I310">
        <v>156.80000000000001</v>
      </c>
      <c r="J310">
        <v>162.19999999999999</v>
      </c>
      <c r="K310">
        <v>164.1</v>
      </c>
      <c r="L310">
        <v>119.7</v>
      </c>
      <c r="M310">
        <v>168.8</v>
      </c>
      <c r="N310">
        <v>162.69999999999999</v>
      </c>
      <c r="O310">
        <v>173.9</v>
      </c>
      <c r="P310">
        <v>164</v>
      </c>
      <c r="Q310">
        <v>192.1</v>
      </c>
      <c r="R310">
        <v>164.5</v>
      </c>
      <c r="S310">
        <v>155.30000000000001</v>
      </c>
      <c r="T310">
        <v>163.19999999999999</v>
      </c>
      <c r="U310">
        <v>162.1</v>
      </c>
      <c r="V310">
        <v>162.6</v>
      </c>
      <c r="W310">
        <v>157.5</v>
      </c>
      <c r="X310">
        <v>168.4</v>
      </c>
      <c r="Y310">
        <v>154</v>
      </c>
      <c r="Z310">
        <v>157.6</v>
      </c>
      <c r="AA310">
        <v>163.80000000000001</v>
      </c>
      <c r="AB310">
        <v>160</v>
      </c>
      <c r="AC310">
        <v>160</v>
      </c>
      <c r="AD310">
        <v>163.19999999999999</v>
      </c>
    </row>
    <row r="311" spans="1:30" x14ac:dyDescent="0.25">
      <c r="A311" t="s">
        <v>30</v>
      </c>
      <c r="B311">
        <v>2021</v>
      </c>
      <c r="C311" t="s">
        <v>42</v>
      </c>
      <c r="D311">
        <v>145.4</v>
      </c>
      <c r="E311">
        <v>202.1</v>
      </c>
      <c r="F311">
        <v>172</v>
      </c>
      <c r="G311">
        <v>158</v>
      </c>
      <c r="H311">
        <v>195.5</v>
      </c>
      <c r="I311">
        <v>152.69999999999999</v>
      </c>
      <c r="J311">
        <v>151.4</v>
      </c>
      <c r="K311">
        <v>163.9</v>
      </c>
      <c r="L311">
        <v>119.3</v>
      </c>
      <c r="M311">
        <v>170.1</v>
      </c>
      <c r="N311">
        <v>168.3</v>
      </c>
      <c r="O311">
        <v>172.8</v>
      </c>
      <c r="P311">
        <v>162.1</v>
      </c>
      <c r="Q311">
        <v>190.5</v>
      </c>
      <c r="R311">
        <v>167.7</v>
      </c>
      <c r="S311">
        <v>163.6</v>
      </c>
      <c r="T311">
        <v>167.1</v>
      </c>
      <c r="U311" t="s">
        <v>32</v>
      </c>
      <c r="V311">
        <v>163.69999999999999</v>
      </c>
      <c r="W311">
        <v>161.30000000000001</v>
      </c>
      <c r="X311">
        <v>171.9</v>
      </c>
      <c r="Y311">
        <v>157.80000000000001</v>
      </c>
      <c r="Z311">
        <v>162.69999999999999</v>
      </c>
      <c r="AA311">
        <v>168.5</v>
      </c>
      <c r="AB311">
        <v>160.19999999999999</v>
      </c>
      <c r="AC311">
        <v>163.80000000000001</v>
      </c>
      <c r="AD311">
        <v>164</v>
      </c>
    </row>
    <row r="312" spans="1:30" x14ac:dyDescent="0.25">
      <c r="A312" t="s">
        <v>33</v>
      </c>
      <c r="B312">
        <v>2021</v>
      </c>
      <c r="C312" t="s">
        <v>42</v>
      </c>
      <c r="D312">
        <v>149.30000000000001</v>
      </c>
      <c r="E312">
        <v>207.4</v>
      </c>
      <c r="F312">
        <v>174.1</v>
      </c>
      <c r="G312">
        <v>159.1</v>
      </c>
      <c r="H312">
        <v>175</v>
      </c>
      <c r="I312">
        <v>161.19999999999999</v>
      </c>
      <c r="J312">
        <v>183.5</v>
      </c>
      <c r="K312">
        <v>164.5</v>
      </c>
      <c r="L312">
        <v>120.4</v>
      </c>
      <c r="M312">
        <v>166.2</v>
      </c>
      <c r="N312">
        <v>154.80000000000001</v>
      </c>
      <c r="O312">
        <v>175.1</v>
      </c>
      <c r="P312">
        <v>167.3</v>
      </c>
      <c r="Q312">
        <v>196.5</v>
      </c>
      <c r="R312">
        <v>159.80000000000001</v>
      </c>
      <c r="S312">
        <v>143.6</v>
      </c>
      <c r="T312">
        <v>157.4</v>
      </c>
      <c r="U312">
        <v>162.1</v>
      </c>
      <c r="V312">
        <v>160.80000000000001</v>
      </c>
      <c r="W312">
        <v>153.30000000000001</v>
      </c>
      <c r="X312">
        <v>162.80000000000001</v>
      </c>
      <c r="Y312">
        <v>150.5</v>
      </c>
      <c r="Z312">
        <v>153.9</v>
      </c>
      <c r="AA312">
        <v>160.30000000000001</v>
      </c>
      <c r="AB312">
        <v>159.6</v>
      </c>
      <c r="AC312">
        <v>156</v>
      </c>
      <c r="AD312">
        <v>162.30000000000001</v>
      </c>
    </row>
    <row r="313" spans="1:30" x14ac:dyDescent="0.25">
      <c r="A313" t="s">
        <v>34</v>
      </c>
      <c r="B313">
        <v>2021</v>
      </c>
      <c r="C313" t="s">
        <v>42</v>
      </c>
      <c r="D313">
        <v>146.6</v>
      </c>
      <c r="E313">
        <v>204</v>
      </c>
      <c r="F313">
        <v>172.8</v>
      </c>
      <c r="G313">
        <v>158.4</v>
      </c>
      <c r="H313">
        <v>188</v>
      </c>
      <c r="I313">
        <v>156.69999999999999</v>
      </c>
      <c r="J313">
        <v>162.30000000000001</v>
      </c>
      <c r="K313">
        <v>164.1</v>
      </c>
      <c r="L313">
        <v>119.7</v>
      </c>
      <c r="M313">
        <v>168.8</v>
      </c>
      <c r="N313">
        <v>162.69999999999999</v>
      </c>
      <c r="O313">
        <v>173.9</v>
      </c>
      <c r="P313">
        <v>164</v>
      </c>
      <c r="Q313">
        <v>192.1</v>
      </c>
      <c r="R313">
        <v>164.6</v>
      </c>
      <c r="S313">
        <v>155.30000000000001</v>
      </c>
      <c r="T313">
        <v>163.30000000000001</v>
      </c>
      <c r="U313">
        <v>162.1</v>
      </c>
      <c r="V313">
        <v>162.6</v>
      </c>
      <c r="W313">
        <v>157.5</v>
      </c>
      <c r="X313">
        <v>168.4</v>
      </c>
      <c r="Y313">
        <v>154</v>
      </c>
      <c r="Z313">
        <v>157.69999999999999</v>
      </c>
      <c r="AA313">
        <v>163.69999999999999</v>
      </c>
      <c r="AB313">
        <v>160</v>
      </c>
      <c r="AC313">
        <v>160</v>
      </c>
      <c r="AD313">
        <v>163.19999999999999</v>
      </c>
    </row>
    <row r="314" spans="1:30" x14ac:dyDescent="0.25">
      <c r="A314" t="s">
        <v>30</v>
      </c>
      <c r="B314">
        <v>2021</v>
      </c>
      <c r="C314" t="s">
        <v>43</v>
      </c>
      <c r="D314">
        <v>146.1</v>
      </c>
      <c r="E314">
        <v>202.5</v>
      </c>
      <c r="F314">
        <v>170.1</v>
      </c>
      <c r="G314">
        <v>158.4</v>
      </c>
      <c r="H314">
        <v>198.8</v>
      </c>
      <c r="I314">
        <v>152.6</v>
      </c>
      <c r="J314">
        <v>170.4</v>
      </c>
      <c r="K314">
        <v>165.2</v>
      </c>
      <c r="L314">
        <v>121.6</v>
      </c>
      <c r="M314">
        <v>170.6</v>
      </c>
      <c r="N314">
        <v>168.8</v>
      </c>
      <c r="O314">
        <v>173.6</v>
      </c>
      <c r="P314">
        <v>165.5</v>
      </c>
      <c r="Q314">
        <v>191.2</v>
      </c>
      <c r="R314">
        <v>168.9</v>
      </c>
      <c r="S314">
        <v>164.8</v>
      </c>
      <c r="T314">
        <v>168.3</v>
      </c>
      <c r="U314" t="s">
        <v>32</v>
      </c>
      <c r="V314">
        <v>165.5</v>
      </c>
      <c r="W314">
        <v>162</v>
      </c>
      <c r="X314">
        <v>172.5</v>
      </c>
      <c r="Y314">
        <v>159.5</v>
      </c>
      <c r="Z314">
        <v>163.19999999999999</v>
      </c>
      <c r="AA314">
        <v>169</v>
      </c>
      <c r="AB314">
        <v>161.1</v>
      </c>
      <c r="AC314">
        <v>164.7</v>
      </c>
      <c r="AD314">
        <v>166.3</v>
      </c>
    </row>
    <row r="315" spans="1:30" x14ac:dyDescent="0.25">
      <c r="A315" t="s">
        <v>33</v>
      </c>
      <c r="B315">
        <v>2021</v>
      </c>
      <c r="C315" t="s">
        <v>43</v>
      </c>
      <c r="D315">
        <v>150.1</v>
      </c>
      <c r="E315">
        <v>208.4</v>
      </c>
      <c r="F315">
        <v>173</v>
      </c>
      <c r="G315">
        <v>159.19999999999999</v>
      </c>
      <c r="H315">
        <v>176.6</v>
      </c>
      <c r="I315">
        <v>159.30000000000001</v>
      </c>
      <c r="J315">
        <v>214.4</v>
      </c>
      <c r="K315">
        <v>165.3</v>
      </c>
      <c r="L315">
        <v>122.5</v>
      </c>
      <c r="M315">
        <v>166.8</v>
      </c>
      <c r="N315">
        <v>155.4</v>
      </c>
      <c r="O315">
        <v>175.9</v>
      </c>
      <c r="P315">
        <v>171.5</v>
      </c>
      <c r="Q315">
        <v>197</v>
      </c>
      <c r="R315">
        <v>160.80000000000001</v>
      </c>
      <c r="S315">
        <v>144.4</v>
      </c>
      <c r="T315">
        <v>158.30000000000001</v>
      </c>
      <c r="U315">
        <v>163.6</v>
      </c>
      <c r="V315">
        <v>162.19999999999999</v>
      </c>
      <c r="W315">
        <v>154.30000000000001</v>
      </c>
      <c r="X315">
        <v>163.5</v>
      </c>
      <c r="Y315">
        <v>152.19999999999999</v>
      </c>
      <c r="Z315">
        <v>155.1</v>
      </c>
      <c r="AA315">
        <v>160.30000000000001</v>
      </c>
      <c r="AB315">
        <v>160.30000000000001</v>
      </c>
      <c r="AC315">
        <v>157</v>
      </c>
      <c r="AD315">
        <v>164.6</v>
      </c>
    </row>
    <row r="316" spans="1:30" x14ac:dyDescent="0.25">
      <c r="A316" t="s">
        <v>34</v>
      </c>
      <c r="B316">
        <v>2021</v>
      </c>
      <c r="C316" t="s">
        <v>43</v>
      </c>
      <c r="D316">
        <v>147.4</v>
      </c>
      <c r="E316">
        <v>204.6</v>
      </c>
      <c r="F316">
        <v>171.2</v>
      </c>
      <c r="G316">
        <v>158.69999999999999</v>
      </c>
      <c r="H316">
        <v>190.6</v>
      </c>
      <c r="I316">
        <v>155.69999999999999</v>
      </c>
      <c r="J316">
        <v>185.3</v>
      </c>
      <c r="K316">
        <v>165.2</v>
      </c>
      <c r="L316">
        <v>121.9</v>
      </c>
      <c r="M316">
        <v>169.3</v>
      </c>
      <c r="N316">
        <v>163.19999999999999</v>
      </c>
      <c r="O316">
        <v>174.7</v>
      </c>
      <c r="P316">
        <v>167.7</v>
      </c>
      <c r="Q316">
        <v>192.7</v>
      </c>
      <c r="R316">
        <v>165.7</v>
      </c>
      <c r="S316">
        <v>156.30000000000001</v>
      </c>
      <c r="T316">
        <v>164.3</v>
      </c>
      <c r="U316">
        <v>163.6</v>
      </c>
      <c r="V316">
        <v>164.2</v>
      </c>
      <c r="W316">
        <v>158.4</v>
      </c>
      <c r="X316">
        <v>169.1</v>
      </c>
      <c r="Y316">
        <v>155.69999999999999</v>
      </c>
      <c r="Z316">
        <v>158.6</v>
      </c>
      <c r="AA316">
        <v>163.9</v>
      </c>
      <c r="AB316">
        <v>160.80000000000001</v>
      </c>
      <c r="AC316">
        <v>161</v>
      </c>
      <c r="AD316">
        <v>165.5</v>
      </c>
    </row>
    <row r="317" spans="1:30" x14ac:dyDescent="0.25">
      <c r="A317" t="s">
        <v>30</v>
      </c>
      <c r="B317">
        <v>2021</v>
      </c>
      <c r="C317" t="s">
        <v>45</v>
      </c>
      <c r="D317">
        <v>146.9</v>
      </c>
      <c r="E317">
        <v>199.8</v>
      </c>
      <c r="F317">
        <v>171.5</v>
      </c>
      <c r="G317">
        <v>159.1</v>
      </c>
      <c r="H317">
        <v>198.4</v>
      </c>
      <c r="I317">
        <v>153.19999999999999</v>
      </c>
      <c r="J317">
        <v>183.9</v>
      </c>
      <c r="K317">
        <v>165.4</v>
      </c>
      <c r="L317">
        <v>122.1</v>
      </c>
      <c r="M317">
        <v>170.8</v>
      </c>
      <c r="N317">
        <v>169.1</v>
      </c>
      <c r="O317">
        <v>174.3</v>
      </c>
      <c r="P317">
        <v>167.5</v>
      </c>
      <c r="Q317">
        <v>191.4</v>
      </c>
      <c r="R317">
        <v>170.4</v>
      </c>
      <c r="S317">
        <v>166</v>
      </c>
      <c r="T317">
        <v>169.8</v>
      </c>
      <c r="U317" t="s">
        <v>32</v>
      </c>
      <c r="V317">
        <v>165.3</v>
      </c>
      <c r="W317">
        <v>162.9</v>
      </c>
      <c r="X317">
        <v>173.4</v>
      </c>
      <c r="Y317">
        <v>158.9</v>
      </c>
      <c r="Z317">
        <v>163.80000000000001</v>
      </c>
      <c r="AA317">
        <v>169.3</v>
      </c>
      <c r="AB317">
        <v>162.4</v>
      </c>
      <c r="AC317">
        <v>165.2</v>
      </c>
      <c r="AD317">
        <v>167.6</v>
      </c>
    </row>
    <row r="318" spans="1:30" x14ac:dyDescent="0.25">
      <c r="A318" t="s">
        <v>33</v>
      </c>
      <c r="B318">
        <v>2021</v>
      </c>
      <c r="C318" t="s">
        <v>45</v>
      </c>
      <c r="D318">
        <v>151</v>
      </c>
      <c r="E318">
        <v>204.9</v>
      </c>
      <c r="F318">
        <v>175.4</v>
      </c>
      <c r="G318">
        <v>159.6</v>
      </c>
      <c r="H318">
        <v>175.8</v>
      </c>
      <c r="I318">
        <v>160.30000000000001</v>
      </c>
      <c r="J318">
        <v>229.1</v>
      </c>
      <c r="K318">
        <v>165.1</v>
      </c>
      <c r="L318">
        <v>123.1</v>
      </c>
      <c r="M318">
        <v>167.2</v>
      </c>
      <c r="N318">
        <v>156.1</v>
      </c>
      <c r="O318">
        <v>176.8</v>
      </c>
      <c r="P318">
        <v>173.5</v>
      </c>
      <c r="Q318">
        <v>197</v>
      </c>
      <c r="R318">
        <v>162.30000000000001</v>
      </c>
      <c r="S318">
        <v>145.30000000000001</v>
      </c>
      <c r="T318">
        <v>159.69999999999999</v>
      </c>
      <c r="U318">
        <v>164.2</v>
      </c>
      <c r="V318">
        <v>161.6</v>
      </c>
      <c r="W318">
        <v>155.19999999999999</v>
      </c>
      <c r="X318">
        <v>164.2</v>
      </c>
      <c r="Y318">
        <v>151.19999999999999</v>
      </c>
      <c r="Z318">
        <v>156.69999999999999</v>
      </c>
      <c r="AA318">
        <v>160.80000000000001</v>
      </c>
      <c r="AB318">
        <v>161.80000000000001</v>
      </c>
      <c r="AC318">
        <v>157.30000000000001</v>
      </c>
      <c r="AD318">
        <v>165.6</v>
      </c>
    </row>
    <row r="319" spans="1:30" x14ac:dyDescent="0.25">
      <c r="A319" t="s">
        <v>34</v>
      </c>
      <c r="B319">
        <v>2021</v>
      </c>
      <c r="C319" t="s">
        <v>45</v>
      </c>
      <c r="D319">
        <v>148.19999999999999</v>
      </c>
      <c r="E319">
        <v>201.6</v>
      </c>
      <c r="F319">
        <v>173</v>
      </c>
      <c r="G319">
        <v>159.30000000000001</v>
      </c>
      <c r="H319">
        <v>190.1</v>
      </c>
      <c r="I319">
        <v>156.5</v>
      </c>
      <c r="J319">
        <v>199.2</v>
      </c>
      <c r="K319">
        <v>165.3</v>
      </c>
      <c r="L319">
        <v>122.4</v>
      </c>
      <c r="M319">
        <v>169.6</v>
      </c>
      <c r="N319">
        <v>163.69999999999999</v>
      </c>
      <c r="O319">
        <v>175.5</v>
      </c>
      <c r="P319">
        <v>169.7</v>
      </c>
      <c r="Q319">
        <v>192.9</v>
      </c>
      <c r="R319">
        <v>167.2</v>
      </c>
      <c r="S319">
        <v>157.4</v>
      </c>
      <c r="T319">
        <v>165.8</v>
      </c>
      <c r="U319">
        <v>164.2</v>
      </c>
      <c r="V319">
        <v>163.9</v>
      </c>
      <c r="W319">
        <v>159.30000000000001</v>
      </c>
      <c r="X319">
        <v>169.9</v>
      </c>
      <c r="Y319">
        <v>154.80000000000001</v>
      </c>
      <c r="Z319">
        <v>159.80000000000001</v>
      </c>
      <c r="AA319">
        <v>164.3</v>
      </c>
      <c r="AB319">
        <v>162.19999999999999</v>
      </c>
      <c r="AC319">
        <v>161.4</v>
      </c>
      <c r="AD319">
        <v>166.7</v>
      </c>
    </row>
    <row r="320" spans="1:30" x14ac:dyDescent="0.25">
      <c r="A320" t="s">
        <v>30</v>
      </c>
      <c r="B320">
        <v>2021</v>
      </c>
      <c r="C320" t="s">
        <v>46</v>
      </c>
      <c r="D320">
        <v>147.4</v>
      </c>
      <c r="E320">
        <v>197</v>
      </c>
      <c r="F320">
        <v>176.5</v>
      </c>
      <c r="G320">
        <v>159.80000000000001</v>
      </c>
      <c r="H320">
        <v>195.8</v>
      </c>
      <c r="I320">
        <v>152</v>
      </c>
      <c r="J320">
        <v>172.3</v>
      </c>
      <c r="K320">
        <v>164.5</v>
      </c>
      <c r="L320">
        <v>120.6</v>
      </c>
      <c r="M320">
        <v>171.7</v>
      </c>
      <c r="N320">
        <v>169.7</v>
      </c>
      <c r="O320">
        <v>175.1</v>
      </c>
      <c r="P320">
        <v>165.8</v>
      </c>
      <c r="Q320">
        <v>190.8</v>
      </c>
      <c r="R320">
        <v>171.8</v>
      </c>
      <c r="S320">
        <v>167.3</v>
      </c>
      <c r="T320">
        <v>171.2</v>
      </c>
      <c r="U320" t="s">
        <v>32</v>
      </c>
      <c r="V320">
        <v>165.6</v>
      </c>
      <c r="W320">
        <v>163.9</v>
      </c>
      <c r="X320">
        <v>174</v>
      </c>
      <c r="Y320">
        <v>160.1</v>
      </c>
      <c r="Z320">
        <v>164.5</v>
      </c>
      <c r="AA320">
        <v>169.7</v>
      </c>
      <c r="AB320">
        <v>162.80000000000001</v>
      </c>
      <c r="AC320">
        <v>166</v>
      </c>
      <c r="AD320">
        <v>167</v>
      </c>
    </row>
    <row r="321" spans="1:30" x14ac:dyDescent="0.25">
      <c r="A321" t="s">
        <v>33</v>
      </c>
      <c r="B321">
        <v>2021</v>
      </c>
      <c r="C321" t="s">
        <v>46</v>
      </c>
      <c r="D321">
        <v>151.6</v>
      </c>
      <c r="E321">
        <v>202.2</v>
      </c>
      <c r="F321">
        <v>180</v>
      </c>
      <c r="G321">
        <v>160</v>
      </c>
      <c r="H321">
        <v>173.5</v>
      </c>
      <c r="I321">
        <v>158.30000000000001</v>
      </c>
      <c r="J321">
        <v>219.5</v>
      </c>
      <c r="K321">
        <v>164.2</v>
      </c>
      <c r="L321">
        <v>121.9</v>
      </c>
      <c r="M321">
        <v>168.2</v>
      </c>
      <c r="N321">
        <v>156.5</v>
      </c>
      <c r="O321">
        <v>178.2</v>
      </c>
      <c r="P321">
        <v>172.2</v>
      </c>
      <c r="Q321">
        <v>196.8</v>
      </c>
      <c r="R321">
        <v>163.30000000000001</v>
      </c>
      <c r="S321">
        <v>146.69999999999999</v>
      </c>
      <c r="T321">
        <v>160.69999999999999</v>
      </c>
      <c r="U321">
        <v>163.4</v>
      </c>
      <c r="V321">
        <v>161.69999999999999</v>
      </c>
      <c r="W321">
        <v>156</v>
      </c>
      <c r="X321">
        <v>165.1</v>
      </c>
      <c r="Y321">
        <v>151.80000000000001</v>
      </c>
      <c r="Z321">
        <v>157.6</v>
      </c>
      <c r="AA321">
        <v>160.6</v>
      </c>
      <c r="AB321">
        <v>162.4</v>
      </c>
      <c r="AC321">
        <v>157.80000000000001</v>
      </c>
      <c r="AD321">
        <v>165.2</v>
      </c>
    </row>
    <row r="322" spans="1:30" x14ac:dyDescent="0.25">
      <c r="A322" t="s">
        <v>34</v>
      </c>
      <c r="B322">
        <v>2021</v>
      </c>
      <c r="C322" t="s">
        <v>46</v>
      </c>
      <c r="D322">
        <v>148.69999999999999</v>
      </c>
      <c r="E322">
        <v>198.8</v>
      </c>
      <c r="F322">
        <v>177.9</v>
      </c>
      <c r="G322">
        <v>159.9</v>
      </c>
      <c r="H322">
        <v>187.6</v>
      </c>
      <c r="I322">
        <v>154.9</v>
      </c>
      <c r="J322">
        <v>188.3</v>
      </c>
      <c r="K322">
        <v>164.4</v>
      </c>
      <c r="L322">
        <v>121</v>
      </c>
      <c r="M322">
        <v>170.5</v>
      </c>
      <c r="N322">
        <v>164.2</v>
      </c>
      <c r="O322">
        <v>176.5</v>
      </c>
      <c r="P322">
        <v>168.2</v>
      </c>
      <c r="Q322">
        <v>192.4</v>
      </c>
      <c r="R322">
        <v>168.5</v>
      </c>
      <c r="S322">
        <v>158.69999999999999</v>
      </c>
      <c r="T322">
        <v>167</v>
      </c>
      <c r="U322">
        <v>163.4</v>
      </c>
      <c r="V322">
        <v>164.1</v>
      </c>
      <c r="W322">
        <v>160.19999999999999</v>
      </c>
      <c r="X322">
        <v>170.6</v>
      </c>
      <c r="Y322">
        <v>155.69999999999999</v>
      </c>
      <c r="Z322">
        <v>160.6</v>
      </c>
      <c r="AA322">
        <v>164.4</v>
      </c>
      <c r="AB322">
        <v>162.6</v>
      </c>
      <c r="AC322">
        <v>162</v>
      </c>
      <c r="AD322">
        <v>166.2</v>
      </c>
    </row>
    <row r="323" spans="1:30" x14ac:dyDescent="0.25">
      <c r="A323" t="s">
        <v>30</v>
      </c>
      <c r="B323">
        <v>2022</v>
      </c>
      <c r="C323" t="s">
        <v>31</v>
      </c>
      <c r="D323">
        <v>148.30000000000001</v>
      </c>
      <c r="E323">
        <v>196.9</v>
      </c>
      <c r="F323">
        <v>178</v>
      </c>
      <c r="G323">
        <v>160.5</v>
      </c>
      <c r="H323">
        <v>192.6</v>
      </c>
      <c r="I323">
        <v>151.19999999999999</v>
      </c>
      <c r="J323">
        <v>159.19999999999999</v>
      </c>
      <c r="K323">
        <v>164</v>
      </c>
      <c r="L323">
        <v>119.3</v>
      </c>
      <c r="M323">
        <v>173.3</v>
      </c>
      <c r="N323">
        <v>169.8</v>
      </c>
      <c r="O323">
        <v>175.8</v>
      </c>
      <c r="P323">
        <v>164.1</v>
      </c>
      <c r="Q323">
        <v>190.7</v>
      </c>
      <c r="R323">
        <v>173.2</v>
      </c>
      <c r="S323">
        <v>169.3</v>
      </c>
      <c r="T323">
        <v>172.7</v>
      </c>
      <c r="U323" t="s">
        <v>32</v>
      </c>
      <c r="V323">
        <v>165.8</v>
      </c>
      <c r="W323">
        <v>164.9</v>
      </c>
      <c r="X323">
        <v>174.7</v>
      </c>
      <c r="Y323">
        <v>160.80000000000001</v>
      </c>
      <c r="Z323">
        <v>164.9</v>
      </c>
      <c r="AA323">
        <v>169.9</v>
      </c>
      <c r="AB323">
        <v>163.19999999999999</v>
      </c>
      <c r="AC323">
        <v>166.6</v>
      </c>
      <c r="AD323">
        <v>166.4</v>
      </c>
    </row>
    <row r="324" spans="1:30" x14ac:dyDescent="0.25">
      <c r="A324" t="s">
        <v>33</v>
      </c>
      <c r="B324">
        <v>2022</v>
      </c>
      <c r="C324" t="s">
        <v>31</v>
      </c>
      <c r="D324">
        <v>152.19999999999999</v>
      </c>
      <c r="E324">
        <v>202.1</v>
      </c>
      <c r="F324">
        <v>180.1</v>
      </c>
      <c r="G324">
        <v>160.4</v>
      </c>
      <c r="H324">
        <v>171</v>
      </c>
      <c r="I324">
        <v>156.5</v>
      </c>
      <c r="J324">
        <v>203.6</v>
      </c>
      <c r="K324">
        <v>163.80000000000001</v>
      </c>
      <c r="L324">
        <v>121.3</v>
      </c>
      <c r="M324">
        <v>169.8</v>
      </c>
      <c r="N324">
        <v>156.6</v>
      </c>
      <c r="O324">
        <v>179</v>
      </c>
      <c r="P324">
        <v>170.3</v>
      </c>
      <c r="Q324">
        <v>196.4</v>
      </c>
      <c r="R324">
        <v>164.7</v>
      </c>
      <c r="S324">
        <v>148.5</v>
      </c>
      <c r="T324">
        <v>162.19999999999999</v>
      </c>
      <c r="U324">
        <v>164.5</v>
      </c>
      <c r="V324">
        <v>161.6</v>
      </c>
      <c r="W324">
        <v>156.80000000000001</v>
      </c>
      <c r="X324">
        <v>166.1</v>
      </c>
      <c r="Y324">
        <v>152.69999999999999</v>
      </c>
      <c r="Z324">
        <v>158.4</v>
      </c>
      <c r="AA324">
        <v>161</v>
      </c>
      <c r="AB324">
        <v>162.80000000000001</v>
      </c>
      <c r="AC324">
        <v>158.6</v>
      </c>
      <c r="AD324">
        <v>165</v>
      </c>
    </row>
    <row r="325" spans="1:30" x14ac:dyDescent="0.25">
      <c r="A325" t="s">
        <v>34</v>
      </c>
      <c r="B325">
        <v>2022</v>
      </c>
      <c r="C325" t="s">
        <v>31</v>
      </c>
      <c r="D325">
        <v>149.5</v>
      </c>
      <c r="E325">
        <v>198.7</v>
      </c>
      <c r="F325">
        <v>178.8</v>
      </c>
      <c r="G325">
        <v>160.5</v>
      </c>
      <c r="H325">
        <v>184.7</v>
      </c>
      <c r="I325">
        <v>153.69999999999999</v>
      </c>
      <c r="J325">
        <v>174.3</v>
      </c>
      <c r="K325">
        <v>163.9</v>
      </c>
      <c r="L325">
        <v>120</v>
      </c>
      <c r="M325">
        <v>172.1</v>
      </c>
      <c r="N325">
        <v>164.3</v>
      </c>
      <c r="O325">
        <v>177.3</v>
      </c>
      <c r="P325">
        <v>166.4</v>
      </c>
      <c r="Q325">
        <v>192.2</v>
      </c>
      <c r="R325">
        <v>169.9</v>
      </c>
      <c r="S325">
        <v>160.69999999999999</v>
      </c>
      <c r="T325">
        <v>168.5</v>
      </c>
      <c r="U325">
        <v>164.5</v>
      </c>
      <c r="V325">
        <v>164.2</v>
      </c>
      <c r="W325">
        <v>161.1</v>
      </c>
      <c r="X325">
        <v>171.4</v>
      </c>
      <c r="Y325">
        <v>156.5</v>
      </c>
      <c r="Z325">
        <v>161.19999999999999</v>
      </c>
      <c r="AA325">
        <v>164.7</v>
      </c>
      <c r="AB325">
        <v>163</v>
      </c>
      <c r="AC325">
        <v>162.69999999999999</v>
      </c>
      <c r="AD325">
        <v>165.7</v>
      </c>
    </row>
    <row r="326" spans="1:30" x14ac:dyDescent="0.25">
      <c r="A326" t="s">
        <v>30</v>
      </c>
      <c r="B326">
        <v>2022</v>
      </c>
      <c r="C326" t="s">
        <v>35</v>
      </c>
      <c r="D326">
        <v>148.80000000000001</v>
      </c>
      <c r="E326">
        <v>198.1</v>
      </c>
      <c r="F326">
        <v>175.5</v>
      </c>
      <c r="G326">
        <v>160.69999999999999</v>
      </c>
      <c r="H326">
        <v>192.6</v>
      </c>
      <c r="I326">
        <v>151.4</v>
      </c>
      <c r="J326">
        <v>155.19999999999999</v>
      </c>
      <c r="K326">
        <v>163.9</v>
      </c>
      <c r="L326">
        <v>118.1</v>
      </c>
      <c r="M326">
        <v>175.4</v>
      </c>
      <c r="N326">
        <v>170.5</v>
      </c>
      <c r="O326">
        <v>176.3</v>
      </c>
      <c r="P326">
        <v>163.9</v>
      </c>
      <c r="Q326">
        <v>191.5</v>
      </c>
      <c r="R326">
        <v>174.1</v>
      </c>
      <c r="S326">
        <v>171</v>
      </c>
      <c r="T326">
        <v>173.7</v>
      </c>
      <c r="U326" t="s">
        <v>32</v>
      </c>
      <c r="V326">
        <v>167.4</v>
      </c>
      <c r="W326">
        <v>165.7</v>
      </c>
      <c r="X326">
        <v>175.3</v>
      </c>
      <c r="Y326">
        <v>161.19999999999999</v>
      </c>
      <c r="Z326">
        <v>165.5</v>
      </c>
      <c r="AA326">
        <v>170.3</v>
      </c>
      <c r="AB326">
        <v>164.5</v>
      </c>
      <c r="AC326">
        <v>167.3</v>
      </c>
      <c r="AD326">
        <v>166.7</v>
      </c>
    </row>
    <row r="327" spans="1:30" x14ac:dyDescent="0.25">
      <c r="A327" t="s">
        <v>33</v>
      </c>
      <c r="B327">
        <v>2022</v>
      </c>
      <c r="C327" t="s">
        <v>35</v>
      </c>
      <c r="D327">
        <v>152.5</v>
      </c>
      <c r="E327">
        <v>205.2</v>
      </c>
      <c r="F327">
        <v>176.4</v>
      </c>
      <c r="G327">
        <v>160.6</v>
      </c>
      <c r="H327">
        <v>171.5</v>
      </c>
      <c r="I327">
        <v>156.4</v>
      </c>
      <c r="J327">
        <v>198</v>
      </c>
      <c r="K327">
        <v>163.19999999999999</v>
      </c>
      <c r="L327">
        <v>120.6</v>
      </c>
      <c r="M327">
        <v>172.2</v>
      </c>
      <c r="N327">
        <v>156.69999999999999</v>
      </c>
      <c r="O327">
        <v>180</v>
      </c>
      <c r="P327">
        <v>170.2</v>
      </c>
      <c r="Q327">
        <v>196.5</v>
      </c>
      <c r="R327">
        <v>165.7</v>
      </c>
      <c r="S327">
        <v>150.4</v>
      </c>
      <c r="T327">
        <v>163.4</v>
      </c>
      <c r="U327">
        <v>165.5</v>
      </c>
      <c r="V327">
        <v>163</v>
      </c>
      <c r="W327">
        <v>157.4</v>
      </c>
      <c r="X327">
        <v>167.2</v>
      </c>
      <c r="Y327">
        <v>153.1</v>
      </c>
      <c r="Z327">
        <v>159.5</v>
      </c>
      <c r="AA327">
        <v>162</v>
      </c>
      <c r="AB327">
        <v>164.2</v>
      </c>
      <c r="AC327">
        <v>159.4</v>
      </c>
      <c r="AD327">
        <v>165.5</v>
      </c>
    </row>
    <row r="328" spans="1:30" x14ac:dyDescent="0.25">
      <c r="A328" t="s">
        <v>34</v>
      </c>
      <c r="B328">
        <v>2022</v>
      </c>
      <c r="C328" t="s">
        <v>35</v>
      </c>
      <c r="D328">
        <v>150</v>
      </c>
      <c r="E328">
        <v>200.6</v>
      </c>
      <c r="F328">
        <v>175.8</v>
      </c>
      <c r="G328">
        <v>160.69999999999999</v>
      </c>
      <c r="H328">
        <v>184.9</v>
      </c>
      <c r="I328">
        <v>153.69999999999999</v>
      </c>
      <c r="J328">
        <v>169.7</v>
      </c>
      <c r="K328">
        <v>163.69999999999999</v>
      </c>
      <c r="L328">
        <v>118.9</v>
      </c>
      <c r="M328">
        <v>174.3</v>
      </c>
      <c r="N328">
        <v>164.7</v>
      </c>
      <c r="O328">
        <v>178</v>
      </c>
      <c r="P328">
        <v>166.2</v>
      </c>
      <c r="Q328">
        <v>192.8</v>
      </c>
      <c r="R328">
        <v>170.8</v>
      </c>
      <c r="S328">
        <v>162.4</v>
      </c>
      <c r="T328">
        <v>169.6</v>
      </c>
      <c r="U328">
        <v>165.5</v>
      </c>
      <c r="V328">
        <v>165.7</v>
      </c>
      <c r="W328">
        <v>161.80000000000001</v>
      </c>
      <c r="X328">
        <v>172.2</v>
      </c>
      <c r="Y328">
        <v>156.9</v>
      </c>
      <c r="Z328">
        <v>162.1</v>
      </c>
      <c r="AA328">
        <v>165.4</v>
      </c>
      <c r="AB328">
        <v>164.4</v>
      </c>
      <c r="AC328">
        <v>163.5</v>
      </c>
      <c r="AD328">
        <v>166.1</v>
      </c>
    </row>
    <row r="329" spans="1:30" x14ac:dyDescent="0.25">
      <c r="A329" t="s">
        <v>30</v>
      </c>
      <c r="B329">
        <v>2022</v>
      </c>
      <c r="C329" t="s">
        <v>36</v>
      </c>
      <c r="D329">
        <v>150.19999999999999</v>
      </c>
      <c r="E329">
        <v>208</v>
      </c>
      <c r="F329">
        <v>167.9</v>
      </c>
      <c r="G329">
        <v>162</v>
      </c>
      <c r="H329">
        <v>203.1</v>
      </c>
      <c r="I329">
        <v>155.9</v>
      </c>
      <c r="J329">
        <v>155.80000000000001</v>
      </c>
      <c r="K329">
        <v>164.2</v>
      </c>
      <c r="L329">
        <v>118.1</v>
      </c>
      <c r="M329">
        <v>178.7</v>
      </c>
      <c r="N329">
        <v>171.2</v>
      </c>
      <c r="O329">
        <v>177.4</v>
      </c>
      <c r="P329">
        <v>166.6</v>
      </c>
      <c r="Q329">
        <v>192.3</v>
      </c>
      <c r="R329">
        <v>175.4</v>
      </c>
      <c r="S329">
        <v>173.2</v>
      </c>
      <c r="T329">
        <v>175.1</v>
      </c>
      <c r="U329" t="s">
        <v>32</v>
      </c>
      <c r="V329">
        <v>168.9</v>
      </c>
      <c r="W329">
        <v>166.5</v>
      </c>
      <c r="X329">
        <v>176</v>
      </c>
      <c r="Y329">
        <v>162</v>
      </c>
      <c r="Z329">
        <v>166.6</v>
      </c>
      <c r="AA329">
        <v>170.6</v>
      </c>
      <c r="AB329">
        <v>167.4</v>
      </c>
      <c r="AC329">
        <v>168.3</v>
      </c>
      <c r="AD329">
        <v>168.7</v>
      </c>
    </row>
    <row r="330" spans="1:30" x14ac:dyDescent="0.25">
      <c r="A330" t="s">
        <v>33</v>
      </c>
      <c r="B330">
        <v>2022</v>
      </c>
      <c r="C330" t="s">
        <v>36</v>
      </c>
      <c r="D330">
        <v>153.69999999999999</v>
      </c>
      <c r="E330">
        <v>215.8</v>
      </c>
      <c r="F330">
        <v>167.7</v>
      </c>
      <c r="G330">
        <v>162.6</v>
      </c>
      <c r="H330">
        <v>180</v>
      </c>
      <c r="I330">
        <v>159.6</v>
      </c>
      <c r="J330">
        <v>188.4</v>
      </c>
      <c r="K330">
        <v>163.4</v>
      </c>
      <c r="L330">
        <v>120.3</v>
      </c>
      <c r="M330">
        <v>174.7</v>
      </c>
      <c r="N330">
        <v>157.1</v>
      </c>
      <c r="O330">
        <v>181.5</v>
      </c>
      <c r="P330">
        <v>171.5</v>
      </c>
      <c r="Q330">
        <v>197.5</v>
      </c>
      <c r="R330">
        <v>167.1</v>
      </c>
      <c r="S330">
        <v>152.6</v>
      </c>
      <c r="T330">
        <v>164.9</v>
      </c>
      <c r="U330">
        <v>165.3</v>
      </c>
      <c r="V330">
        <v>164.5</v>
      </c>
      <c r="W330">
        <v>158.6</v>
      </c>
      <c r="X330">
        <v>168.2</v>
      </c>
      <c r="Y330">
        <v>154.19999999999999</v>
      </c>
      <c r="Z330">
        <v>160.80000000000001</v>
      </c>
      <c r="AA330">
        <v>162.69999999999999</v>
      </c>
      <c r="AB330">
        <v>166.8</v>
      </c>
      <c r="AC330">
        <v>160.6</v>
      </c>
      <c r="AD330">
        <v>166.5</v>
      </c>
    </row>
    <row r="331" spans="1:30" x14ac:dyDescent="0.25">
      <c r="A331" t="s">
        <v>34</v>
      </c>
      <c r="B331">
        <v>2022</v>
      </c>
      <c r="C331" t="s">
        <v>36</v>
      </c>
      <c r="D331">
        <v>151.30000000000001</v>
      </c>
      <c r="E331">
        <v>210.7</v>
      </c>
      <c r="F331">
        <v>167.8</v>
      </c>
      <c r="G331">
        <v>162.19999999999999</v>
      </c>
      <c r="H331">
        <v>194.6</v>
      </c>
      <c r="I331">
        <v>157.6</v>
      </c>
      <c r="J331">
        <v>166.9</v>
      </c>
      <c r="K331">
        <v>163.9</v>
      </c>
      <c r="L331">
        <v>118.8</v>
      </c>
      <c r="M331">
        <v>177.4</v>
      </c>
      <c r="N331">
        <v>165.3</v>
      </c>
      <c r="O331">
        <v>179.3</v>
      </c>
      <c r="P331">
        <v>168.4</v>
      </c>
      <c r="Q331">
        <v>193.7</v>
      </c>
      <c r="R331">
        <v>172.1</v>
      </c>
      <c r="S331">
        <v>164.6</v>
      </c>
      <c r="T331">
        <v>171.1</v>
      </c>
      <c r="U331">
        <v>165.3</v>
      </c>
      <c r="V331">
        <v>167.2</v>
      </c>
      <c r="W331">
        <v>162.80000000000001</v>
      </c>
      <c r="X331">
        <v>173</v>
      </c>
      <c r="Y331">
        <v>157.9</v>
      </c>
      <c r="Z331">
        <v>163.30000000000001</v>
      </c>
      <c r="AA331">
        <v>166</v>
      </c>
      <c r="AB331">
        <v>167.2</v>
      </c>
      <c r="AC331">
        <v>164.6</v>
      </c>
      <c r="AD331">
        <v>167.7</v>
      </c>
    </row>
    <row r="332" spans="1:30" x14ac:dyDescent="0.25">
      <c r="A332" t="s">
        <v>30</v>
      </c>
      <c r="B332">
        <v>2022</v>
      </c>
      <c r="C332" t="s">
        <v>37</v>
      </c>
      <c r="D332">
        <v>151.80000000000001</v>
      </c>
      <c r="E332">
        <v>209.7</v>
      </c>
      <c r="F332">
        <v>164.5</v>
      </c>
      <c r="G332">
        <v>163.80000000000001</v>
      </c>
      <c r="H332">
        <v>207.4</v>
      </c>
      <c r="I332">
        <v>169.7</v>
      </c>
      <c r="J332">
        <v>153.6</v>
      </c>
      <c r="K332">
        <v>165.1</v>
      </c>
      <c r="L332">
        <v>118.2</v>
      </c>
      <c r="M332">
        <v>182.9</v>
      </c>
      <c r="N332">
        <v>172.4</v>
      </c>
      <c r="O332">
        <v>178.9</v>
      </c>
      <c r="P332">
        <v>168.6</v>
      </c>
      <c r="Q332">
        <v>192.8</v>
      </c>
      <c r="R332">
        <v>177.5</v>
      </c>
      <c r="S332">
        <v>175.1</v>
      </c>
      <c r="T332">
        <v>177.1</v>
      </c>
      <c r="U332" t="s">
        <v>32</v>
      </c>
      <c r="V332">
        <v>173.3</v>
      </c>
      <c r="W332">
        <v>167.7</v>
      </c>
      <c r="X332">
        <v>177</v>
      </c>
      <c r="Y332">
        <v>166.2</v>
      </c>
      <c r="Z332">
        <v>167.2</v>
      </c>
      <c r="AA332">
        <v>170.9</v>
      </c>
      <c r="AB332">
        <v>169</v>
      </c>
      <c r="AC332">
        <v>170.2</v>
      </c>
      <c r="AD332">
        <v>170.8</v>
      </c>
    </row>
    <row r="333" spans="1:30" x14ac:dyDescent="0.25">
      <c r="A333" t="s">
        <v>33</v>
      </c>
      <c r="B333">
        <v>2022</v>
      </c>
      <c r="C333" t="s">
        <v>37</v>
      </c>
      <c r="D333">
        <v>155.4</v>
      </c>
      <c r="E333">
        <v>215.8</v>
      </c>
      <c r="F333">
        <v>164.6</v>
      </c>
      <c r="G333">
        <v>164.2</v>
      </c>
      <c r="H333">
        <v>186</v>
      </c>
      <c r="I333">
        <v>175.9</v>
      </c>
      <c r="J333">
        <v>190.7</v>
      </c>
      <c r="K333">
        <v>164</v>
      </c>
      <c r="L333">
        <v>120.5</v>
      </c>
      <c r="M333">
        <v>178</v>
      </c>
      <c r="N333">
        <v>157.5</v>
      </c>
      <c r="O333">
        <v>183.3</v>
      </c>
      <c r="P333">
        <v>174.5</v>
      </c>
      <c r="Q333">
        <v>197.1</v>
      </c>
      <c r="R333">
        <v>168.4</v>
      </c>
      <c r="S333">
        <v>154.5</v>
      </c>
      <c r="T333">
        <v>166.3</v>
      </c>
      <c r="U333">
        <v>167</v>
      </c>
      <c r="V333">
        <v>170.5</v>
      </c>
      <c r="W333">
        <v>159.80000000000001</v>
      </c>
      <c r="X333">
        <v>169</v>
      </c>
      <c r="Y333">
        <v>159.30000000000001</v>
      </c>
      <c r="Z333">
        <v>162.19999999999999</v>
      </c>
      <c r="AA333">
        <v>164</v>
      </c>
      <c r="AB333">
        <v>168.4</v>
      </c>
      <c r="AC333">
        <v>163.1</v>
      </c>
      <c r="AD333">
        <v>169.2</v>
      </c>
    </row>
    <row r="334" spans="1:30" x14ac:dyDescent="0.25">
      <c r="A334" t="s">
        <v>34</v>
      </c>
      <c r="B334">
        <v>2022</v>
      </c>
      <c r="C334" t="s">
        <v>37</v>
      </c>
      <c r="D334">
        <v>152.9</v>
      </c>
      <c r="E334">
        <v>211.8</v>
      </c>
      <c r="F334">
        <v>164.5</v>
      </c>
      <c r="G334">
        <v>163.9</v>
      </c>
      <c r="H334">
        <v>199.5</v>
      </c>
      <c r="I334">
        <v>172.6</v>
      </c>
      <c r="J334">
        <v>166.2</v>
      </c>
      <c r="K334">
        <v>164.7</v>
      </c>
      <c r="L334">
        <v>119</v>
      </c>
      <c r="M334">
        <v>181.3</v>
      </c>
      <c r="N334">
        <v>166.2</v>
      </c>
      <c r="O334">
        <v>180.9</v>
      </c>
      <c r="P334">
        <v>170.8</v>
      </c>
      <c r="Q334">
        <v>193.9</v>
      </c>
      <c r="R334">
        <v>173.9</v>
      </c>
      <c r="S334">
        <v>166.5</v>
      </c>
      <c r="T334">
        <v>172.8</v>
      </c>
      <c r="U334">
        <v>167</v>
      </c>
      <c r="V334">
        <v>172.2</v>
      </c>
      <c r="W334">
        <v>164</v>
      </c>
      <c r="X334">
        <v>174</v>
      </c>
      <c r="Y334">
        <v>162.6</v>
      </c>
      <c r="Z334">
        <v>164.4</v>
      </c>
      <c r="AA334">
        <v>166.9</v>
      </c>
      <c r="AB334">
        <v>168.8</v>
      </c>
      <c r="AC334">
        <v>166.8</v>
      </c>
      <c r="AD334">
        <v>170.1</v>
      </c>
    </row>
    <row r="335" spans="1:30" x14ac:dyDescent="0.25">
      <c r="A335" t="s">
        <v>30</v>
      </c>
      <c r="B335">
        <v>2022</v>
      </c>
      <c r="C335" t="s">
        <v>38</v>
      </c>
      <c r="D335">
        <v>152.9</v>
      </c>
      <c r="E335">
        <v>214.7</v>
      </c>
      <c r="F335">
        <v>161.4</v>
      </c>
      <c r="G335">
        <v>164.6</v>
      </c>
      <c r="H335">
        <v>209.9</v>
      </c>
      <c r="I335">
        <v>168</v>
      </c>
      <c r="J335">
        <v>160.4</v>
      </c>
      <c r="K335">
        <v>165</v>
      </c>
      <c r="L335">
        <v>118.9</v>
      </c>
      <c r="M335">
        <v>186.6</v>
      </c>
      <c r="N335">
        <v>173.2</v>
      </c>
      <c r="O335">
        <v>180.4</v>
      </c>
      <c r="P335">
        <v>170.8</v>
      </c>
      <c r="Q335">
        <v>192.9</v>
      </c>
      <c r="R335">
        <v>179.3</v>
      </c>
      <c r="S335">
        <v>177.2</v>
      </c>
      <c r="T335">
        <v>179</v>
      </c>
      <c r="U335" t="s">
        <v>32</v>
      </c>
      <c r="V335">
        <v>175.3</v>
      </c>
      <c r="W335">
        <v>168.9</v>
      </c>
      <c r="X335">
        <v>177.7</v>
      </c>
      <c r="Y335">
        <v>167.1</v>
      </c>
      <c r="Z335">
        <v>167.6</v>
      </c>
      <c r="AA335">
        <v>171.8</v>
      </c>
      <c r="AB335">
        <v>168.5</v>
      </c>
      <c r="AC335">
        <v>170.9</v>
      </c>
      <c r="AD335">
        <v>172.5</v>
      </c>
    </row>
    <row r="336" spans="1:30" x14ac:dyDescent="0.25">
      <c r="A336" t="s">
        <v>33</v>
      </c>
      <c r="B336">
        <v>2022</v>
      </c>
      <c r="C336" t="s">
        <v>38</v>
      </c>
      <c r="D336">
        <v>156.69999999999999</v>
      </c>
      <c r="E336">
        <v>221.2</v>
      </c>
      <c r="F336">
        <v>164.1</v>
      </c>
      <c r="G336">
        <v>165.4</v>
      </c>
      <c r="H336">
        <v>189.5</v>
      </c>
      <c r="I336">
        <v>174.5</v>
      </c>
      <c r="J336">
        <v>203.2</v>
      </c>
      <c r="K336">
        <v>164.1</v>
      </c>
      <c r="L336">
        <v>121.2</v>
      </c>
      <c r="M336">
        <v>181.4</v>
      </c>
      <c r="N336">
        <v>158.5</v>
      </c>
      <c r="O336">
        <v>184.9</v>
      </c>
      <c r="P336">
        <v>177.5</v>
      </c>
      <c r="Q336">
        <v>197.5</v>
      </c>
      <c r="R336">
        <v>170</v>
      </c>
      <c r="S336">
        <v>155.9</v>
      </c>
      <c r="T336">
        <v>167.8</v>
      </c>
      <c r="U336">
        <v>167.5</v>
      </c>
      <c r="V336">
        <v>173.5</v>
      </c>
      <c r="W336">
        <v>161.1</v>
      </c>
      <c r="X336">
        <v>170.1</v>
      </c>
      <c r="Y336">
        <v>159.4</v>
      </c>
      <c r="Z336">
        <v>163.19999999999999</v>
      </c>
      <c r="AA336">
        <v>165.2</v>
      </c>
      <c r="AB336">
        <v>168.2</v>
      </c>
      <c r="AC336">
        <v>163.80000000000001</v>
      </c>
      <c r="AD336">
        <v>170.8</v>
      </c>
    </row>
    <row r="337" spans="1:30" x14ac:dyDescent="0.25">
      <c r="A337" t="s">
        <v>34</v>
      </c>
      <c r="B337">
        <v>2022</v>
      </c>
      <c r="C337" t="s">
        <v>38</v>
      </c>
      <c r="D337">
        <v>154.1</v>
      </c>
      <c r="E337">
        <v>217</v>
      </c>
      <c r="F337">
        <v>162.4</v>
      </c>
      <c r="G337">
        <v>164.9</v>
      </c>
      <c r="H337">
        <v>202.4</v>
      </c>
      <c r="I337">
        <v>171</v>
      </c>
      <c r="J337">
        <v>174.9</v>
      </c>
      <c r="K337">
        <v>164.7</v>
      </c>
      <c r="L337">
        <v>119.7</v>
      </c>
      <c r="M337">
        <v>184.9</v>
      </c>
      <c r="N337">
        <v>167.1</v>
      </c>
      <c r="O337">
        <v>182.5</v>
      </c>
      <c r="P337">
        <v>173.3</v>
      </c>
      <c r="Q337">
        <v>194.1</v>
      </c>
      <c r="R337">
        <v>175.6</v>
      </c>
      <c r="S337">
        <v>168.4</v>
      </c>
      <c r="T337">
        <v>174.6</v>
      </c>
      <c r="U337">
        <v>167.5</v>
      </c>
      <c r="V337">
        <v>174.6</v>
      </c>
      <c r="W337">
        <v>165.2</v>
      </c>
      <c r="X337">
        <v>174.8</v>
      </c>
      <c r="Y337">
        <v>163</v>
      </c>
      <c r="Z337">
        <v>165.1</v>
      </c>
      <c r="AA337">
        <v>167.9</v>
      </c>
      <c r="AB337">
        <v>168.4</v>
      </c>
      <c r="AC337">
        <v>167.5</v>
      </c>
      <c r="AD337">
        <v>171.7</v>
      </c>
    </row>
    <row r="338" spans="1:30" x14ac:dyDescent="0.25">
      <c r="A338" t="s">
        <v>30</v>
      </c>
      <c r="B338">
        <v>2022</v>
      </c>
      <c r="C338" t="s">
        <v>39</v>
      </c>
      <c r="D338">
        <v>153.80000000000001</v>
      </c>
      <c r="E338">
        <v>217.2</v>
      </c>
      <c r="F338">
        <v>169.6</v>
      </c>
      <c r="G338">
        <v>165.4</v>
      </c>
      <c r="H338">
        <v>208.1</v>
      </c>
      <c r="I338">
        <v>165.8</v>
      </c>
      <c r="J338">
        <v>167.3</v>
      </c>
      <c r="K338">
        <v>164.6</v>
      </c>
      <c r="L338">
        <v>119.1</v>
      </c>
      <c r="M338">
        <v>188.9</v>
      </c>
      <c r="N338">
        <v>174.2</v>
      </c>
      <c r="O338">
        <v>181.9</v>
      </c>
      <c r="P338">
        <v>172.4</v>
      </c>
      <c r="Q338">
        <v>192.9</v>
      </c>
      <c r="R338">
        <v>180.7</v>
      </c>
      <c r="S338">
        <v>178.7</v>
      </c>
      <c r="T338">
        <v>180.4</v>
      </c>
      <c r="U338" t="s">
        <v>32</v>
      </c>
      <c r="V338">
        <v>176.7</v>
      </c>
      <c r="W338">
        <v>170.3</v>
      </c>
      <c r="X338">
        <v>178.2</v>
      </c>
      <c r="Y338">
        <v>165.5</v>
      </c>
      <c r="Z338">
        <v>168</v>
      </c>
      <c r="AA338">
        <v>172.6</v>
      </c>
      <c r="AB338">
        <v>169.5</v>
      </c>
      <c r="AC338">
        <v>171</v>
      </c>
      <c r="AD338">
        <v>173.6</v>
      </c>
    </row>
    <row r="339" spans="1:30" x14ac:dyDescent="0.25">
      <c r="A339" t="s">
        <v>33</v>
      </c>
      <c r="B339">
        <v>2022</v>
      </c>
      <c r="C339" t="s">
        <v>39</v>
      </c>
      <c r="D339">
        <v>157.5</v>
      </c>
      <c r="E339">
        <v>223.4</v>
      </c>
      <c r="F339">
        <v>172.8</v>
      </c>
      <c r="G339">
        <v>166.4</v>
      </c>
      <c r="H339">
        <v>188.6</v>
      </c>
      <c r="I339">
        <v>174.1</v>
      </c>
      <c r="J339">
        <v>211.5</v>
      </c>
      <c r="K339">
        <v>163.6</v>
      </c>
      <c r="L339">
        <v>121.4</v>
      </c>
      <c r="M339">
        <v>183.5</v>
      </c>
      <c r="N339">
        <v>159.1</v>
      </c>
      <c r="O339">
        <v>186.3</v>
      </c>
      <c r="P339">
        <v>179.3</v>
      </c>
      <c r="Q339">
        <v>198.3</v>
      </c>
      <c r="R339">
        <v>171.6</v>
      </c>
      <c r="S339">
        <v>157.4</v>
      </c>
      <c r="T339">
        <v>169.4</v>
      </c>
      <c r="U339">
        <v>166.8</v>
      </c>
      <c r="V339">
        <v>174.9</v>
      </c>
      <c r="W339">
        <v>162.1</v>
      </c>
      <c r="X339">
        <v>170.9</v>
      </c>
      <c r="Y339">
        <v>157.19999999999999</v>
      </c>
      <c r="Z339">
        <v>164.1</v>
      </c>
      <c r="AA339">
        <v>166.5</v>
      </c>
      <c r="AB339">
        <v>169.2</v>
      </c>
      <c r="AC339">
        <v>163.80000000000001</v>
      </c>
      <c r="AD339">
        <v>171.4</v>
      </c>
    </row>
    <row r="340" spans="1:30" x14ac:dyDescent="0.25">
      <c r="A340" t="s">
        <v>34</v>
      </c>
      <c r="B340">
        <v>2022</v>
      </c>
      <c r="C340" t="s">
        <v>39</v>
      </c>
      <c r="D340">
        <v>155</v>
      </c>
      <c r="E340">
        <v>219.4</v>
      </c>
      <c r="F340">
        <v>170.8</v>
      </c>
      <c r="G340">
        <v>165.8</v>
      </c>
      <c r="H340">
        <v>200.9</v>
      </c>
      <c r="I340">
        <v>169.7</v>
      </c>
      <c r="J340">
        <v>182.3</v>
      </c>
      <c r="K340">
        <v>164.3</v>
      </c>
      <c r="L340">
        <v>119.9</v>
      </c>
      <c r="M340">
        <v>187.1</v>
      </c>
      <c r="N340">
        <v>167.9</v>
      </c>
      <c r="O340">
        <v>183.9</v>
      </c>
      <c r="P340">
        <v>174.9</v>
      </c>
      <c r="Q340">
        <v>194.3</v>
      </c>
      <c r="R340">
        <v>177.1</v>
      </c>
      <c r="S340">
        <v>169.9</v>
      </c>
      <c r="T340">
        <v>176</v>
      </c>
      <c r="U340">
        <v>166.8</v>
      </c>
      <c r="V340">
        <v>176</v>
      </c>
      <c r="W340">
        <v>166.4</v>
      </c>
      <c r="X340">
        <v>175.4</v>
      </c>
      <c r="Y340">
        <v>161.1</v>
      </c>
      <c r="Z340">
        <v>165.8</v>
      </c>
      <c r="AA340">
        <v>169</v>
      </c>
      <c r="AB340">
        <v>169.4</v>
      </c>
      <c r="AC340">
        <v>167.5</v>
      </c>
      <c r="AD340">
        <v>172.6</v>
      </c>
    </row>
    <row r="341" spans="1:30" x14ac:dyDescent="0.25">
      <c r="A341" t="s">
        <v>30</v>
      </c>
      <c r="B341">
        <v>2022</v>
      </c>
      <c r="C341" t="s">
        <v>40</v>
      </c>
      <c r="D341">
        <v>155.19999999999999</v>
      </c>
      <c r="E341">
        <v>210.8</v>
      </c>
      <c r="F341">
        <v>174.3</v>
      </c>
      <c r="G341">
        <v>166.3</v>
      </c>
      <c r="H341">
        <v>202.2</v>
      </c>
      <c r="I341">
        <v>169.6</v>
      </c>
      <c r="J341">
        <v>168.6</v>
      </c>
      <c r="K341">
        <v>164.4</v>
      </c>
      <c r="L341">
        <v>119.2</v>
      </c>
      <c r="M341">
        <v>191.8</v>
      </c>
      <c r="N341">
        <v>174.5</v>
      </c>
      <c r="O341">
        <v>183.1</v>
      </c>
      <c r="P341">
        <v>172.5</v>
      </c>
      <c r="Q341">
        <v>193.2</v>
      </c>
      <c r="R341">
        <v>182</v>
      </c>
      <c r="S341">
        <v>180.3</v>
      </c>
      <c r="T341">
        <v>181.7</v>
      </c>
      <c r="U341" t="s">
        <v>32</v>
      </c>
      <c r="V341">
        <v>179.6</v>
      </c>
      <c r="W341">
        <v>171.3</v>
      </c>
      <c r="X341">
        <v>178.8</v>
      </c>
      <c r="Y341">
        <v>166.3</v>
      </c>
      <c r="Z341">
        <v>168.6</v>
      </c>
      <c r="AA341">
        <v>174.7</v>
      </c>
      <c r="AB341">
        <v>169.7</v>
      </c>
      <c r="AC341">
        <v>171.8</v>
      </c>
      <c r="AD341">
        <v>174.3</v>
      </c>
    </row>
    <row r="342" spans="1:30" x14ac:dyDescent="0.25">
      <c r="A342" t="s">
        <v>33</v>
      </c>
      <c r="B342">
        <v>2022</v>
      </c>
      <c r="C342" t="s">
        <v>40</v>
      </c>
      <c r="D342">
        <v>159.30000000000001</v>
      </c>
      <c r="E342">
        <v>217.1</v>
      </c>
      <c r="F342">
        <v>176.6</v>
      </c>
      <c r="G342">
        <v>167.1</v>
      </c>
      <c r="H342">
        <v>184.8</v>
      </c>
      <c r="I342">
        <v>179.5</v>
      </c>
      <c r="J342">
        <v>208.5</v>
      </c>
      <c r="K342">
        <v>164</v>
      </c>
      <c r="L342">
        <v>121.5</v>
      </c>
      <c r="M342">
        <v>186.3</v>
      </c>
      <c r="N342">
        <v>159.80000000000001</v>
      </c>
      <c r="O342">
        <v>187.7</v>
      </c>
      <c r="P342">
        <v>179.4</v>
      </c>
      <c r="Q342">
        <v>198.6</v>
      </c>
      <c r="R342">
        <v>172.7</v>
      </c>
      <c r="S342">
        <v>158.69999999999999</v>
      </c>
      <c r="T342">
        <v>170.6</v>
      </c>
      <c r="U342">
        <v>167.8</v>
      </c>
      <c r="V342">
        <v>179.5</v>
      </c>
      <c r="W342">
        <v>163.1</v>
      </c>
      <c r="X342">
        <v>171.7</v>
      </c>
      <c r="Y342">
        <v>157.4</v>
      </c>
      <c r="Z342">
        <v>164.6</v>
      </c>
      <c r="AA342">
        <v>169.1</v>
      </c>
      <c r="AB342">
        <v>169.8</v>
      </c>
      <c r="AC342">
        <v>164.7</v>
      </c>
      <c r="AD342">
        <v>172.3</v>
      </c>
    </row>
    <row r="343" spans="1:30" x14ac:dyDescent="0.25">
      <c r="A343" t="s">
        <v>34</v>
      </c>
      <c r="B343">
        <v>2022</v>
      </c>
      <c r="C343" t="s">
        <v>40</v>
      </c>
      <c r="D343">
        <v>156.5</v>
      </c>
      <c r="E343">
        <v>213</v>
      </c>
      <c r="F343">
        <v>175.2</v>
      </c>
      <c r="G343">
        <v>166.6</v>
      </c>
      <c r="H343">
        <v>195.8</v>
      </c>
      <c r="I343">
        <v>174.2</v>
      </c>
      <c r="J343">
        <v>182.1</v>
      </c>
      <c r="K343">
        <v>164.3</v>
      </c>
      <c r="L343">
        <v>120</v>
      </c>
      <c r="M343">
        <v>190</v>
      </c>
      <c r="N343">
        <v>168.4</v>
      </c>
      <c r="O343">
        <v>185.2</v>
      </c>
      <c r="P343">
        <v>175</v>
      </c>
      <c r="Q343">
        <v>194.6</v>
      </c>
      <c r="R343">
        <v>178.3</v>
      </c>
      <c r="S343">
        <v>171.3</v>
      </c>
      <c r="T343">
        <v>177.3</v>
      </c>
      <c r="U343">
        <v>167.8</v>
      </c>
      <c r="V343">
        <v>179.6</v>
      </c>
      <c r="W343">
        <v>167.4</v>
      </c>
      <c r="X343">
        <v>176.1</v>
      </c>
      <c r="Y343">
        <v>161.6</v>
      </c>
      <c r="Z343">
        <v>166.3</v>
      </c>
      <c r="AA343">
        <v>171.4</v>
      </c>
      <c r="AB343">
        <v>169.7</v>
      </c>
      <c r="AC343">
        <v>168.4</v>
      </c>
      <c r="AD343">
        <v>173.4</v>
      </c>
    </row>
    <row r="344" spans="1:30" x14ac:dyDescent="0.25">
      <c r="A344" t="s">
        <v>30</v>
      </c>
      <c r="B344">
        <v>2022</v>
      </c>
      <c r="C344" t="s">
        <v>41</v>
      </c>
      <c r="D344">
        <v>159.5</v>
      </c>
      <c r="E344">
        <v>204.1</v>
      </c>
      <c r="F344">
        <v>168.3</v>
      </c>
      <c r="G344">
        <v>167.9</v>
      </c>
      <c r="H344">
        <v>198.1</v>
      </c>
      <c r="I344">
        <v>169.2</v>
      </c>
      <c r="J344">
        <v>173.1</v>
      </c>
      <c r="K344">
        <v>167.1</v>
      </c>
      <c r="L344">
        <v>120.2</v>
      </c>
      <c r="M344">
        <v>195.6</v>
      </c>
      <c r="N344">
        <v>174.8</v>
      </c>
      <c r="O344">
        <v>184</v>
      </c>
      <c r="P344">
        <v>173.9</v>
      </c>
      <c r="Q344">
        <v>193.7</v>
      </c>
      <c r="R344">
        <v>183.2</v>
      </c>
      <c r="S344">
        <v>181.7</v>
      </c>
      <c r="T344">
        <v>183</v>
      </c>
      <c r="U344" t="s">
        <v>32</v>
      </c>
      <c r="V344">
        <v>179.1</v>
      </c>
      <c r="W344">
        <v>172.3</v>
      </c>
      <c r="X344">
        <v>179.4</v>
      </c>
      <c r="Y344">
        <v>166.6</v>
      </c>
      <c r="Z344">
        <v>169.3</v>
      </c>
      <c r="AA344">
        <v>175.7</v>
      </c>
      <c r="AB344">
        <v>171.1</v>
      </c>
      <c r="AC344">
        <v>172.6</v>
      </c>
      <c r="AD344">
        <v>175.3</v>
      </c>
    </row>
    <row r="345" spans="1:30" x14ac:dyDescent="0.25">
      <c r="A345" t="s">
        <v>33</v>
      </c>
      <c r="B345">
        <v>2022</v>
      </c>
      <c r="C345" t="s">
        <v>41</v>
      </c>
      <c r="D345">
        <v>162.1</v>
      </c>
      <c r="E345">
        <v>210.9</v>
      </c>
      <c r="F345">
        <v>170.6</v>
      </c>
      <c r="G345">
        <v>168.4</v>
      </c>
      <c r="H345">
        <v>182.5</v>
      </c>
      <c r="I345">
        <v>177.1</v>
      </c>
      <c r="J345">
        <v>213.1</v>
      </c>
      <c r="K345">
        <v>167.3</v>
      </c>
      <c r="L345">
        <v>122.2</v>
      </c>
      <c r="M345">
        <v>189.7</v>
      </c>
      <c r="N345">
        <v>160.5</v>
      </c>
      <c r="O345">
        <v>188.9</v>
      </c>
      <c r="P345">
        <v>180.4</v>
      </c>
      <c r="Q345">
        <v>198.7</v>
      </c>
      <c r="R345">
        <v>173.7</v>
      </c>
      <c r="S345">
        <v>160</v>
      </c>
      <c r="T345">
        <v>171.6</v>
      </c>
      <c r="U345">
        <v>169</v>
      </c>
      <c r="V345">
        <v>178.4</v>
      </c>
      <c r="W345">
        <v>164.2</v>
      </c>
      <c r="X345">
        <v>172.6</v>
      </c>
      <c r="Y345">
        <v>157.69999999999999</v>
      </c>
      <c r="Z345">
        <v>165.1</v>
      </c>
      <c r="AA345">
        <v>169.9</v>
      </c>
      <c r="AB345">
        <v>171.4</v>
      </c>
      <c r="AC345">
        <v>165.4</v>
      </c>
      <c r="AD345">
        <v>173.1</v>
      </c>
    </row>
    <row r="346" spans="1:30" x14ac:dyDescent="0.25">
      <c r="A346" t="s">
        <v>34</v>
      </c>
      <c r="B346">
        <v>2022</v>
      </c>
      <c r="C346" t="s">
        <v>41</v>
      </c>
      <c r="D346">
        <v>160.30000000000001</v>
      </c>
      <c r="E346">
        <v>206.5</v>
      </c>
      <c r="F346">
        <v>169.2</v>
      </c>
      <c r="G346">
        <v>168.1</v>
      </c>
      <c r="H346">
        <v>192.4</v>
      </c>
      <c r="I346">
        <v>172.9</v>
      </c>
      <c r="J346">
        <v>186.7</v>
      </c>
      <c r="K346">
        <v>167.2</v>
      </c>
      <c r="L346">
        <v>120.9</v>
      </c>
      <c r="M346">
        <v>193.6</v>
      </c>
      <c r="N346">
        <v>168.8</v>
      </c>
      <c r="O346">
        <v>186.3</v>
      </c>
      <c r="P346">
        <v>176.3</v>
      </c>
      <c r="Q346">
        <v>195</v>
      </c>
      <c r="R346">
        <v>179.5</v>
      </c>
      <c r="S346">
        <v>172.7</v>
      </c>
      <c r="T346">
        <v>178.5</v>
      </c>
      <c r="U346">
        <v>169</v>
      </c>
      <c r="V346">
        <v>178.8</v>
      </c>
      <c r="W346">
        <v>168.5</v>
      </c>
      <c r="X346">
        <v>176.8</v>
      </c>
      <c r="Y346">
        <v>161.9</v>
      </c>
      <c r="Z346">
        <v>166.9</v>
      </c>
      <c r="AA346">
        <v>172.3</v>
      </c>
      <c r="AB346">
        <v>171.2</v>
      </c>
      <c r="AC346">
        <v>169.1</v>
      </c>
      <c r="AD346">
        <v>174.3</v>
      </c>
    </row>
    <row r="347" spans="1:30" x14ac:dyDescent="0.25">
      <c r="A347" t="s">
        <v>30</v>
      </c>
      <c r="B347">
        <v>2022</v>
      </c>
      <c r="C347" t="s">
        <v>42</v>
      </c>
      <c r="D347">
        <v>162.9</v>
      </c>
      <c r="E347">
        <v>206.7</v>
      </c>
      <c r="F347">
        <v>169</v>
      </c>
      <c r="G347">
        <v>169.5</v>
      </c>
      <c r="H347">
        <v>194.1</v>
      </c>
      <c r="I347">
        <v>164.1</v>
      </c>
      <c r="J347">
        <v>176.9</v>
      </c>
      <c r="K347">
        <v>169</v>
      </c>
      <c r="L347">
        <v>120.8</v>
      </c>
      <c r="M347">
        <v>199.1</v>
      </c>
      <c r="N347">
        <v>175.4</v>
      </c>
      <c r="O347">
        <v>184.8</v>
      </c>
      <c r="P347">
        <v>175.5</v>
      </c>
      <c r="Q347">
        <v>194.5</v>
      </c>
      <c r="R347">
        <v>184.7</v>
      </c>
      <c r="S347">
        <v>183.3</v>
      </c>
      <c r="T347">
        <v>184.5</v>
      </c>
      <c r="U347" t="s">
        <v>32</v>
      </c>
      <c r="V347">
        <v>179.7</v>
      </c>
      <c r="W347">
        <v>173.6</v>
      </c>
      <c r="X347">
        <v>180.2</v>
      </c>
      <c r="Y347">
        <v>166.9</v>
      </c>
      <c r="Z347">
        <v>170</v>
      </c>
      <c r="AA347">
        <v>176.2</v>
      </c>
      <c r="AB347">
        <v>170.8</v>
      </c>
      <c r="AC347">
        <v>173.1</v>
      </c>
      <c r="AD347">
        <v>176.4</v>
      </c>
    </row>
    <row r="348" spans="1:30" x14ac:dyDescent="0.25">
      <c r="A348" t="s">
        <v>33</v>
      </c>
      <c r="B348">
        <v>2022</v>
      </c>
      <c r="C348" t="s">
        <v>42</v>
      </c>
      <c r="D348">
        <v>164.9</v>
      </c>
      <c r="E348">
        <v>213.7</v>
      </c>
      <c r="F348">
        <v>170.9</v>
      </c>
      <c r="G348">
        <v>170.1</v>
      </c>
      <c r="H348">
        <v>179.3</v>
      </c>
      <c r="I348">
        <v>167.5</v>
      </c>
      <c r="J348">
        <v>220.8</v>
      </c>
      <c r="K348">
        <v>169.2</v>
      </c>
      <c r="L348">
        <v>123.1</v>
      </c>
      <c r="M348">
        <v>193.6</v>
      </c>
      <c r="N348">
        <v>161.1</v>
      </c>
      <c r="O348">
        <v>190.4</v>
      </c>
      <c r="P348">
        <v>181.8</v>
      </c>
      <c r="Q348">
        <v>199.7</v>
      </c>
      <c r="R348">
        <v>175</v>
      </c>
      <c r="S348">
        <v>161.69999999999999</v>
      </c>
      <c r="T348">
        <v>173</v>
      </c>
      <c r="U348">
        <v>169.5</v>
      </c>
      <c r="V348">
        <v>179.2</v>
      </c>
      <c r="W348">
        <v>165</v>
      </c>
      <c r="X348">
        <v>173.8</v>
      </c>
      <c r="Y348">
        <v>158.19999999999999</v>
      </c>
      <c r="Z348">
        <v>165.8</v>
      </c>
      <c r="AA348">
        <v>170.9</v>
      </c>
      <c r="AB348">
        <v>171.1</v>
      </c>
      <c r="AC348">
        <v>166.1</v>
      </c>
      <c r="AD348">
        <v>174.1</v>
      </c>
    </row>
    <row r="349" spans="1:30" x14ac:dyDescent="0.25">
      <c r="A349" t="s">
        <v>34</v>
      </c>
      <c r="B349">
        <v>2022</v>
      </c>
      <c r="C349" t="s">
        <v>42</v>
      </c>
      <c r="D349">
        <v>163.5</v>
      </c>
      <c r="E349">
        <v>209.2</v>
      </c>
      <c r="F349">
        <v>169.7</v>
      </c>
      <c r="G349">
        <v>169.7</v>
      </c>
      <c r="H349">
        <v>188.7</v>
      </c>
      <c r="I349">
        <v>165.7</v>
      </c>
      <c r="J349">
        <v>191.8</v>
      </c>
      <c r="K349">
        <v>169.1</v>
      </c>
      <c r="L349">
        <v>121.6</v>
      </c>
      <c r="M349">
        <v>197.3</v>
      </c>
      <c r="N349">
        <v>169.4</v>
      </c>
      <c r="O349">
        <v>187.4</v>
      </c>
      <c r="P349">
        <v>177.8</v>
      </c>
      <c r="Q349">
        <v>195.9</v>
      </c>
      <c r="R349">
        <v>180.9</v>
      </c>
      <c r="S349">
        <v>174.3</v>
      </c>
      <c r="T349">
        <v>179.9</v>
      </c>
      <c r="U349">
        <v>169.5</v>
      </c>
      <c r="V349">
        <v>179.5</v>
      </c>
      <c r="W349">
        <v>169.5</v>
      </c>
      <c r="X349">
        <v>177.8</v>
      </c>
      <c r="Y349">
        <v>162.30000000000001</v>
      </c>
      <c r="Z349">
        <v>167.6</v>
      </c>
      <c r="AA349">
        <v>173.1</v>
      </c>
      <c r="AB349">
        <v>170.9</v>
      </c>
      <c r="AC349">
        <v>169.7</v>
      </c>
      <c r="AD349">
        <v>175.3</v>
      </c>
    </row>
    <row r="350" spans="1:30" x14ac:dyDescent="0.25">
      <c r="A350" t="s">
        <v>30</v>
      </c>
      <c r="B350">
        <v>2022</v>
      </c>
      <c r="C350" t="s">
        <v>43</v>
      </c>
      <c r="D350">
        <v>164.7</v>
      </c>
      <c r="E350">
        <v>208.8</v>
      </c>
      <c r="F350">
        <v>170.3</v>
      </c>
      <c r="G350">
        <v>170.9</v>
      </c>
      <c r="H350">
        <v>191.6</v>
      </c>
      <c r="I350">
        <v>162.19999999999999</v>
      </c>
      <c r="J350">
        <v>184.8</v>
      </c>
      <c r="K350">
        <v>169.7</v>
      </c>
      <c r="L350">
        <v>121.1</v>
      </c>
      <c r="M350">
        <v>201.6</v>
      </c>
      <c r="N350">
        <v>175.8</v>
      </c>
      <c r="O350">
        <v>185.6</v>
      </c>
      <c r="P350">
        <v>177.4</v>
      </c>
      <c r="Q350">
        <v>194.9</v>
      </c>
      <c r="R350">
        <v>186.1</v>
      </c>
      <c r="S350">
        <v>184.4</v>
      </c>
      <c r="T350">
        <v>185.9</v>
      </c>
      <c r="U350" t="s">
        <v>32</v>
      </c>
      <c r="V350">
        <v>180.8</v>
      </c>
      <c r="W350">
        <v>174.4</v>
      </c>
      <c r="X350">
        <v>181.2</v>
      </c>
      <c r="Y350">
        <v>167.4</v>
      </c>
      <c r="Z350">
        <v>170.6</v>
      </c>
      <c r="AA350">
        <v>176.5</v>
      </c>
      <c r="AB350">
        <v>172</v>
      </c>
      <c r="AC350">
        <v>173.9</v>
      </c>
      <c r="AD350">
        <v>177.9</v>
      </c>
    </row>
    <row r="351" spans="1:30" x14ac:dyDescent="0.25">
      <c r="A351" t="s">
        <v>33</v>
      </c>
      <c r="B351">
        <v>2022</v>
      </c>
      <c r="C351" t="s">
        <v>43</v>
      </c>
      <c r="D351">
        <v>166.4</v>
      </c>
      <c r="E351">
        <v>214.9</v>
      </c>
      <c r="F351">
        <v>171.9</v>
      </c>
      <c r="G351">
        <v>171</v>
      </c>
      <c r="H351">
        <v>177.7</v>
      </c>
      <c r="I351">
        <v>165.7</v>
      </c>
      <c r="J351">
        <v>228.6</v>
      </c>
      <c r="K351">
        <v>169.9</v>
      </c>
      <c r="L351">
        <v>123.4</v>
      </c>
      <c r="M351">
        <v>196.4</v>
      </c>
      <c r="N351">
        <v>161.6</v>
      </c>
      <c r="O351">
        <v>191.5</v>
      </c>
      <c r="P351">
        <v>183.3</v>
      </c>
      <c r="Q351">
        <v>200.1</v>
      </c>
      <c r="R351">
        <v>175.5</v>
      </c>
      <c r="S351">
        <v>162.6</v>
      </c>
      <c r="T351">
        <v>173.6</v>
      </c>
      <c r="U351">
        <v>171.2</v>
      </c>
      <c r="V351">
        <v>180</v>
      </c>
      <c r="W351">
        <v>166</v>
      </c>
      <c r="X351">
        <v>174.7</v>
      </c>
      <c r="Y351">
        <v>158.80000000000001</v>
      </c>
      <c r="Z351">
        <v>166.3</v>
      </c>
      <c r="AA351">
        <v>171.2</v>
      </c>
      <c r="AB351">
        <v>172.3</v>
      </c>
      <c r="AC351">
        <v>166.8</v>
      </c>
      <c r="AD351">
        <v>175.3</v>
      </c>
    </row>
    <row r="352" spans="1:30" x14ac:dyDescent="0.25">
      <c r="A352" t="s">
        <v>34</v>
      </c>
      <c r="B352">
        <v>2022</v>
      </c>
      <c r="C352" t="s">
        <v>43</v>
      </c>
      <c r="D352">
        <v>165.2</v>
      </c>
      <c r="E352">
        <v>210.9</v>
      </c>
      <c r="F352">
        <v>170.9</v>
      </c>
      <c r="G352">
        <v>170.9</v>
      </c>
      <c r="H352">
        <v>186.5</v>
      </c>
      <c r="I352">
        <v>163.80000000000001</v>
      </c>
      <c r="J352">
        <v>199.7</v>
      </c>
      <c r="K352">
        <v>169.8</v>
      </c>
      <c r="L352">
        <v>121.9</v>
      </c>
      <c r="M352">
        <v>199.9</v>
      </c>
      <c r="N352">
        <v>169.9</v>
      </c>
      <c r="O352">
        <v>188.3</v>
      </c>
      <c r="P352">
        <v>179.6</v>
      </c>
      <c r="Q352">
        <v>196.3</v>
      </c>
      <c r="R352">
        <v>181.9</v>
      </c>
      <c r="S352">
        <v>175.3</v>
      </c>
      <c r="T352">
        <v>181</v>
      </c>
      <c r="U352">
        <v>171.2</v>
      </c>
      <c r="V352">
        <v>180.5</v>
      </c>
      <c r="W352">
        <v>170.4</v>
      </c>
      <c r="X352">
        <v>178.7</v>
      </c>
      <c r="Y352">
        <v>162.9</v>
      </c>
      <c r="Z352">
        <v>168.2</v>
      </c>
      <c r="AA352">
        <v>173.4</v>
      </c>
      <c r="AB352">
        <v>172.1</v>
      </c>
      <c r="AC352">
        <v>170.5</v>
      </c>
      <c r="AD352">
        <v>176.7</v>
      </c>
    </row>
    <row r="353" spans="1:30" x14ac:dyDescent="0.25">
      <c r="A353" t="s">
        <v>30</v>
      </c>
      <c r="B353">
        <v>2022</v>
      </c>
      <c r="C353" t="s">
        <v>45</v>
      </c>
      <c r="D353">
        <v>166.9</v>
      </c>
      <c r="E353">
        <v>207.2</v>
      </c>
      <c r="F353">
        <v>180.2</v>
      </c>
      <c r="G353">
        <v>172.3</v>
      </c>
      <c r="H353">
        <v>194</v>
      </c>
      <c r="I353">
        <v>159.1</v>
      </c>
      <c r="J353">
        <v>171.6</v>
      </c>
      <c r="K353">
        <v>170.2</v>
      </c>
      <c r="L353">
        <v>121.5</v>
      </c>
      <c r="M353">
        <v>204.8</v>
      </c>
      <c r="N353">
        <v>176.4</v>
      </c>
      <c r="O353">
        <v>186.9</v>
      </c>
      <c r="P353">
        <v>176.6</v>
      </c>
      <c r="Q353">
        <v>195.5</v>
      </c>
      <c r="R353">
        <v>187.2</v>
      </c>
      <c r="S353">
        <v>185.2</v>
      </c>
      <c r="T353">
        <v>186.9</v>
      </c>
      <c r="U353" t="s">
        <v>32</v>
      </c>
      <c r="V353">
        <v>181.9</v>
      </c>
      <c r="W353">
        <v>175.5</v>
      </c>
      <c r="X353">
        <v>182.3</v>
      </c>
      <c r="Y353">
        <v>167.5</v>
      </c>
      <c r="Z353">
        <v>170.8</v>
      </c>
      <c r="AA353">
        <v>176.9</v>
      </c>
      <c r="AB353">
        <v>173.4</v>
      </c>
      <c r="AC353">
        <v>174.6</v>
      </c>
      <c r="AD353">
        <v>177.8</v>
      </c>
    </row>
    <row r="354" spans="1:30" x14ac:dyDescent="0.25">
      <c r="A354" t="s">
        <v>33</v>
      </c>
      <c r="B354">
        <v>2022</v>
      </c>
      <c r="C354" t="s">
        <v>45</v>
      </c>
      <c r="D354">
        <v>168.4</v>
      </c>
      <c r="E354">
        <v>213.4</v>
      </c>
      <c r="F354">
        <v>183.2</v>
      </c>
      <c r="G354">
        <v>172.3</v>
      </c>
      <c r="H354">
        <v>180</v>
      </c>
      <c r="I354">
        <v>162.6</v>
      </c>
      <c r="J354">
        <v>205.5</v>
      </c>
      <c r="K354">
        <v>171</v>
      </c>
      <c r="L354">
        <v>123.4</v>
      </c>
      <c r="M354">
        <v>198.8</v>
      </c>
      <c r="N354">
        <v>162.1</v>
      </c>
      <c r="O354">
        <v>192.4</v>
      </c>
      <c r="P354">
        <v>181.3</v>
      </c>
      <c r="Q354">
        <v>200.6</v>
      </c>
      <c r="R354">
        <v>176.7</v>
      </c>
      <c r="S354">
        <v>163.5</v>
      </c>
      <c r="T354">
        <v>174.7</v>
      </c>
      <c r="U354">
        <v>171.8</v>
      </c>
      <c r="V354">
        <v>180.3</v>
      </c>
      <c r="W354">
        <v>166.9</v>
      </c>
      <c r="X354">
        <v>175.8</v>
      </c>
      <c r="Y354">
        <v>158.9</v>
      </c>
      <c r="Z354">
        <v>166.7</v>
      </c>
      <c r="AA354">
        <v>171.5</v>
      </c>
      <c r="AB354">
        <v>173.8</v>
      </c>
      <c r="AC354">
        <v>167.4</v>
      </c>
      <c r="AD354">
        <v>174.1</v>
      </c>
    </row>
    <row r="355" spans="1:30" x14ac:dyDescent="0.25">
      <c r="A355" t="s">
        <v>34</v>
      </c>
      <c r="B355">
        <v>2022</v>
      </c>
      <c r="C355" t="s">
        <v>45</v>
      </c>
      <c r="D355">
        <v>167.4</v>
      </c>
      <c r="E355">
        <v>209.4</v>
      </c>
      <c r="F355">
        <v>181.4</v>
      </c>
      <c r="G355">
        <v>172.3</v>
      </c>
      <c r="H355">
        <v>188.9</v>
      </c>
      <c r="I355">
        <v>160.69999999999999</v>
      </c>
      <c r="J355">
        <v>183.1</v>
      </c>
      <c r="K355">
        <v>170.5</v>
      </c>
      <c r="L355">
        <v>122.1</v>
      </c>
      <c r="M355">
        <v>202.8</v>
      </c>
      <c r="N355">
        <v>170.4</v>
      </c>
      <c r="O355">
        <v>189.5</v>
      </c>
      <c r="P355">
        <v>178.3</v>
      </c>
      <c r="Q355">
        <v>196.9</v>
      </c>
      <c r="R355">
        <v>183.1</v>
      </c>
      <c r="S355">
        <v>176.2</v>
      </c>
      <c r="T355">
        <v>182.1</v>
      </c>
      <c r="U355">
        <v>171.8</v>
      </c>
      <c r="V355">
        <v>181.3</v>
      </c>
      <c r="W355">
        <v>171.4</v>
      </c>
      <c r="X355">
        <v>179.8</v>
      </c>
      <c r="Y355">
        <v>163</v>
      </c>
      <c r="Z355">
        <v>168.5</v>
      </c>
      <c r="AA355">
        <v>173.7</v>
      </c>
      <c r="AB355">
        <v>173.6</v>
      </c>
      <c r="AC355">
        <v>171.1</v>
      </c>
      <c r="AD355">
        <v>176.5</v>
      </c>
    </row>
    <row r="356" spans="1:30" x14ac:dyDescent="0.25">
      <c r="A356" t="s">
        <v>30</v>
      </c>
      <c r="B356">
        <v>2022</v>
      </c>
      <c r="C356" t="s">
        <v>46</v>
      </c>
      <c r="D356">
        <v>168.8</v>
      </c>
      <c r="E356">
        <v>206.9</v>
      </c>
      <c r="F356">
        <v>189.1</v>
      </c>
      <c r="G356">
        <v>173.4</v>
      </c>
      <c r="H356">
        <v>193.9</v>
      </c>
      <c r="I356">
        <v>156.69999999999999</v>
      </c>
      <c r="J356">
        <v>150.19999999999999</v>
      </c>
      <c r="K356">
        <v>170.5</v>
      </c>
      <c r="L356">
        <v>121.2</v>
      </c>
      <c r="M356">
        <v>207.5</v>
      </c>
      <c r="N356">
        <v>176.8</v>
      </c>
      <c r="O356">
        <v>187.7</v>
      </c>
      <c r="P356">
        <v>174.4</v>
      </c>
      <c r="Q356">
        <v>195.9</v>
      </c>
      <c r="R356">
        <v>188.1</v>
      </c>
      <c r="S356">
        <v>185.9</v>
      </c>
      <c r="T356">
        <v>187.8</v>
      </c>
      <c r="U356" t="s">
        <v>32</v>
      </c>
      <c r="V356">
        <v>182.8</v>
      </c>
      <c r="W356">
        <v>176.4</v>
      </c>
      <c r="X356">
        <v>183.5</v>
      </c>
      <c r="Y356">
        <v>167.8</v>
      </c>
      <c r="Z356">
        <v>171.2</v>
      </c>
      <c r="AA356">
        <v>177.3</v>
      </c>
      <c r="AB356">
        <v>175.7</v>
      </c>
      <c r="AC356">
        <v>175.5</v>
      </c>
      <c r="AD356">
        <v>177.1</v>
      </c>
    </row>
    <row r="357" spans="1:30" x14ac:dyDescent="0.25">
      <c r="A357" t="s">
        <v>33</v>
      </c>
      <c r="B357">
        <v>2022</v>
      </c>
      <c r="C357" t="s">
        <v>46</v>
      </c>
      <c r="D357">
        <v>170.2</v>
      </c>
      <c r="E357">
        <v>212.9</v>
      </c>
      <c r="F357">
        <v>191.9</v>
      </c>
      <c r="G357">
        <v>173.9</v>
      </c>
      <c r="H357">
        <v>179.1</v>
      </c>
      <c r="I357">
        <v>159.5</v>
      </c>
      <c r="J357">
        <v>178.7</v>
      </c>
      <c r="K357">
        <v>171.3</v>
      </c>
      <c r="L357">
        <v>123.1</v>
      </c>
      <c r="M357">
        <v>200.5</v>
      </c>
      <c r="N357">
        <v>162.80000000000001</v>
      </c>
      <c r="O357">
        <v>193.3</v>
      </c>
      <c r="P357">
        <v>178.6</v>
      </c>
      <c r="Q357">
        <v>201.1</v>
      </c>
      <c r="R357">
        <v>177.7</v>
      </c>
      <c r="S357">
        <v>164.5</v>
      </c>
      <c r="T357">
        <v>175.7</v>
      </c>
      <c r="U357">
        <v>170.7</v>
      </c>
      <c r="V357">
        <v>180.6</v>
      </c>
      <c r="W357">
        <v>167.3</v>
      </c>
      <c r="X357">
        <v>177.2</v>
      </c>
      <c r="Y357">
        <v>159.4</v>
      </c>
      <c r="Z357">
        <v>167.1</v>
      </c>
      <c r="AA357">
        <v>171.8</v>
      </c>
      <c r="AB357">
        <v>176</v>
      </c>
      <c r="AC357">
        <v>168.2</v>
      </c>
      <c r="AD357">
        <v>174.1</v>
      </c>
    </row>
    <row r="358" spans="1:30" x14ac:dyDescent="0.25">
      <c r="A358" t="s">
        <v>34</v>
      </c>
      <c r="B358">
        <v>2022</v>
      </c>
      <c r="C358" t="s">
        <v>46</v>
      </c>
      <c r="D358">
        <v>169.2</v>
      </c>
      <c r="E358">
        <v>209</v>
      </c>
      <c r="F358">
        <v>190.2</v>
      </c>
      <c r="G358">
        <v>173.6</v>
      </c>
      <c r="H358">
        <v>188.5</v>
      </c>
      <c r="I358">
        <v>158</v>
      </c>
      <c r="J358">
        <v>159.9</v>
      </c>
      <c r="K358">
        <v>170.8</v>
      </c>
      <c r="L358">
        <v>121.8</v>
      </c>
      <c r="M358">
        <v>205.2</v>
      </c>
      <c r="N358">
        <v>171</v>
      </c>
      <c r="O358">
        <v>190.3</v>
      </c>
      <c r="P358">
        <v>175.9</v>
      </c>
      <c r="Q358">
        <v>197.3</v>
      </c>
      <c r="R358">
        <v>184</v>
      </c>
      <c r="S358">
        <v>177</v>
      </c>
      <c r="T358">
        <v>183</v>
      </c>
      <c r="U358">
        <v>170.7</v>
      </c>
      <c r="V358">
        <v>182</v>
      </c>
      <c r="W358">
        <v>172.1</v>
      </c>
      <c r="X358">
        <v>181.1</v>
      </c>
      <c r="Y358">
        <v>163.4</v>
      </c>
      <c r="Z358">
        <v>168.9</v>
      </c>
      <c r="AA358">
        <v>174.1</v>
      </c>
      <c r="AB358">
        <v>175.8</v>
      </c>
      <c r="AC358">
        <v>172</v>
      </c>
      <c r="AD358">
        <v>175.7</v>
      </c>
    </row>
    <row r="359" spans="1:30" x14ac:dyDescent="0.25">
      <c r="A359" t="s">
        <v>30</v>
      </c>
      <c r="B359">
        <v>2023</v>
      </c>
      <c r="C359" t="s">
        <v>31</v>
      </c>
      <c r="D359">
        <v>174</v>
      </c>
      <c r="E359">
        <v>208.3</v>
      </c>
      <c r="F359">
        <v>192.9</v>
      </c>
      <c r="G359">
        <v>174.3</v>
      </c>
      <c r="H359">
        <v>192.6</v>
      </c>
      <c r="I359">
        <v>156.30000000000001</v>
      </c>
      <c r="J359">
        <v>142.9</v>
      </c>
      <c r="K359">
        <v>170.7</v>
      </c>
      <c r="L359">
        <v>120.3</v>
      </c>
      <c r="M359">
        <v>210.5</v>
      </c>
      <c r="N359">
        <v>176.9</v>
      </c>
      <c r="O359">
        <v>188.5</v>
      </c>
      <c r="P359">
        <v>175</v>
      </c>
      <c r="Q359">
        <v>196.9</v>
      </c>
      <c r="R359">
        <v>189</v>
      </c>
      <c r="S359">
        <v>186.3</v>
      </c>
      <c r="T359">
        <v>188.6</v>
      </c>
      <c r="U359" t="s">
        <v>32</v>
      </c>
      <c r="V359">
        <v>183.2</v>
      </c>
      <c r="W359">
        <v>177.2</v>
      </c>
      <c r="X359">
        <v>184.7</v>
      </c>
      <c r="Y359">
        <v>168.2</v>
      </c>
      <c r="Z359">
        <v>171.8</v>
      </c>
      <c r="AA359">
        <v>177.8</v>
      </c>
      <c r="AB359">
        <v>178.4</v>
      </c>
      <c r="AC359">
        <v>176.5</v>
      </c>
      <c r="AD359">
        <v>177.8</v>
      </c>
    </row>
    <row r="360" spans="1:30" x14ac:dyDescent="0.25">
      <c r="A360" t="s">
        <v>33</v>
      </c>
      <c r="B360">
        <v>2023</v>
      </c>
      <c r="C360" t="s">
        <v>31</v>
      </c>
      <c r="D360">
        <v>173.3</v>
      </c>
      <c r="E360">
        <v>215.2</v>
      </c>
      <c r="F360">
        <v>197</v>
      </c>
      <c r="G360">
        <v>175.2</v>
      </c>
      <c r="H360">
        <v>178</v>
      </c>
      <c r="I360">
        <v>160.5</v>
      </c>
      <c r="J360">
        <v>175.3</v>
      </c>
      <c r="K360">
        <v>171.2</v>
      </c>
      <c r="L360">
        <v>122.7</v>
      </c>
      <c r="M360">
        <v>204.3</v>
      </c>
      <c r="N360">
        <v>163.69999999999999</v>
      </c>
      <c r="O360">
        <v>194.3</v>
      </c>
      <c r="P360">
        <v>179.5</v>
      </c>
      <c r="Q360">
        <v>201.6</v>
      </c>
      <c r="R360">
        <v>178.7</v>
      </c>
      <c r="S360">
        <v>165.3</v>
      </c>
      <c r="T360">
        <v>176.6</v>
      </c>
      <c r="U360">
        <v>172.1</v>
      </c>
      <c r="V360">
        <v>180.1</v>
      </c>
      <c r="W360">
        <v>168</v>
      </c>
      <c r="X360">
        <v>178.5</v>
      </c>
      <c r="Y360">
        <v>159.5</v>
      </c>
      <c r="Z360">
        <v>167.8</v>
      </c>
      <c r="AA360">
        <v>171.8</v>
      </c>
      <c r="AB360">
        <v>178.8</v>
      </c>
      <c r="AC360">
        <v>168.9</v>
      </c>
      <c r="AD360">
        <v>174.9</v>
      </c>
    </row>
    <row r="361" spans="1:30" x14ac:dyDescent="0.25">
      <c r="A361" t="s">
        <v>34</v>
      </c>
      <c r="B361">
        <v>2023</v>
      </c>
      <c r="C361" t="s">
        <v>31</v>
      </c>
      <c r="D361">
        <v>173.8</v>
      </c>
      <c r="E361">
        <v>210.7</v>
      </c>
      <c r="F361">
        <v>194.5</v>
      </c>
      <c r="G361">
        <v>174.6</v>
      </c>
      <c r="H361">
        <v>187.2</v>
      </c>
      <c r="I361">
        <v>158.30000000000001</v>
      </c>
      <c r="J361">
        <v>153.9</v>
      </c>
      <c r="K361">
        <v>170.9</v>
      </c>
      <c r="L361">
        <v>121.1</v>
      </c>
      <c r="M361">
        <v>208.4</v>
      </c>
      <c r="N361">
        <v>171.4</v>
      </c>
      <c r="O361">
        <v>191.2</v>
      </c>
      <c r="P361">
        <v>176.7</v>
      </c>
      <c r="Q361">
        <v>198.2</v>
      </c>
      <c r="R361">
        <v>184.9</v>
      </c>
      <c r="S361">
        <v>177.6</v>
      </c>
      <c r="T361">
        <v>183.8</v>
      </c>
      <c r="U361">
        <v>172.1</v>
      </c>
      <c r="V361">
        <v>182</v>
      </c>
      <c r="W361">
        <v>172.9</v>
      </c>
      <c r="X361">
        <v>182.3</v>
      </c>
      <c r="Y361">
        <v>163.6</v>
      </c>
      <c r="Z361">
        <v>169.5</v>
      </c>
      <c r="AA361">
        <v>174.3</v>
      </c>
      <c r="AB361">
        <v>178.6</v>
      </c>
      <c r="AC361">
        <v>172.8</v>
      </c>
      <c r="AD361">
        <v>176.5</v>
      </c>
    </row>
    <row r="362" spans="1:30" x14ac:dyDescent="0.25">
      <c r="A362" t="s">
        <v>30</v>
      </c>
      <c r="B362">
        <v>2023</v>
      </c>
      <c r="C362" t="s">
        <v>35</v>
      </c>
      <c r="D362">
        <v>174.2</v>
      </c>
      <c r="E362">
        <v>205.2</v>
      </c>
      <c r="F362">
        <v>173.9</v>
      </c>
      <c r="G362">
        <v>177</v>
      </c>
      <c r="H362">
        <v>183.4</v>
      </c>
      <c r="I362">
        <v>167.2</v>
      </c>
      <c r="J362">
        <v>140.9</v>
      </c>
      <c r="K362">
        <v>170.4</v>
      </c>
      <c r="L362">
        <v>119.1</v>
      </c>
      <c r="M362">
        <v>212.1</v>
      </c>
      <c r="N362">
        <v>177.6</v>
      </c>
      <c r="O362">
        <v>189.9</v>
      </c>
      <c r="P362">
        <v>174.8</v>
      </c>
      <c r="Q362">
        <v>198.3</v>
      </c>
      <c r="R362">
        <v>190</v>
      </c>
      <c r="S362">
        <v>187</v>
      </c>
      <c r="T362">
        <v>189.6</v>
      </c>
      <c r="U362" t="s">
        <v>32</v>
      </c>
      <c r="V362">
        <v>181.6</v>
      </c>
      <c r="W362">
        <v>178.6</v>
      </c>
      <c r="X362">
        <v>186.6</v>
      </c>
      <c r="Y362">
        <v>169</v>
      </c>
      <c r="Z362">
        <v>172.8</v>
      </c>
      <c r="AA362">
        <v>178.5</v>
      </c>
      <c r="AB362">
        <v>180.7</v>
      </c>
      <c r="AC362">
        <v>177.9</v>
      </c>
      <c r="AD362">
        <v>178</v>
      </c>
    </row>
    <row r="363" spans="1:30" x14ac:dyDescent="0.25">
      <c r="A363" t="s">
        <v>33</v>
      </c>
      <c r="B363">
        <v>2023</v>
      </c>
      <c r="C363" t="s">
        <v>35</v>
      </c>
      <c r="D363">
        <v>174.7</v>
      </c>
      <c r="E363">
        <v>212.2</v>
      </c>
      <c r="F363">
        <v>177.2</v>
      </c>
      <c r="G363">
        <v>177.9</v>
      </c>
      <c r="H363">
        <v>172.2</v>
      </c>
      <c r="I363">
        <v>172.1</v>
      </c>
      <c r="J363">
        <v>175.8</v>
      </c>
      <c r="K363">
        <v>172.2</v>
      </c>
      <c r="L363">
        <v>121.9</v>
      </c>
      <c r="M363">
        <v>204.8</v>
      </c>
      <c r="N363">
        <v>164.9</v>
      </c>
      <c r="O363">
        <v>196.6</v>
      </c>
      <c r="P363">
        <v>180.7</v>
      </c>
      <c r="Q363">
        <v>202.7</v>
      </c>
      <c r="R363">
        <v>180.3</v>
      </c>
      <c r="S363">
        <v>167</v>
      </c>
      <c r="T363">
        <v>178.2</v>
      </c>
      <c r="U363">
        <v>173.5</v>
      </c>
      <c r="V363">
        <v>182.8</v>
      </c>
      <c r="W363">
        <v>169.2</v>
      </c>
      <c r="X363">
        <v>180.8</v>
      </c>
      <c r="Y363">
        <v>159.80000000000001</v>
      </c>
      <c r="Z363">
        <v>168.4</v>
      </c>
      <c r="AA363">
        <v>172.5</v>
      </c>
      <c r="AB363">
        <v>181.4</v>
      </c>
      <c r="AC363">
        <v>170</v>
      </c>
      <c r="AD363">
        <v>176.3</v>
      </c>
    </row>
    <row r="364" spans="1:30" x14ac:dyDescent="0.25">
      <c r="A364" t="s">
        <v>34</v>
      </c>
      <c r="B364">
        <v>2023</v>
      </c>
      <c r="C364" t="s">
        <v>35</v>
      </c>
      <c r="D364">
        <v>174.4</v>
      </c>
      <c r="E364">
        <v>207.7</v>
      </c>
      <c r="F364">
        <v>175.2</v>
      </c>
      <c r="G364">
        <v>177.3</v>
      </c>
      <c r="H364">
        <v>179.3</v>
      </c>
      <c r="I364">
        <v>169.5</v>
      </c>
      <c r="J364">
        <v>152.69999999999999</v>
      </c>
      <c r="K364">
        <v>171</v>
      </c>
      <c r="L364">
        <v>120</v>
      </c>
      <c r="M364">
        <v>209.7</v>
      </c>
      <c r="N364">
        <v>172.3</v>
      </c>
      <c r="O364">
        <v>193</v>
      </c>
      <c r="P364">
        <v>177</v>
      </c>
      <c r="Q364">
        <v>199.5</v>
      </c>
      <c r="R364">
        <v>186.2</v>
      </c>
      <c r="S364">
        <v>178.7</v>
      </c>
      <c r="T364">
        <v>185.1</v>
      </c>
      <c r="U364">
        <v>173.5</v>
      </c>
      <c r="V364">
        <v>182.1</v>
      </c>
      <c r="W364">
        <v>174.2</v>
      </c>
      <c r="X364">
        <v>184.4</v>
      </c>
      <c r="Y364">
        <v>164.2</v>
      </c>
      <c r="Z364">
        <v>170.3</v>
      </c>
      <c r="AA364">
        <v>175</v>
      </c>
      <c r="AB364">
        <v>181</v>
      </c>
      <c r="AC364">
        <v>174.1</v>
      </c>
      <c r="AD364">
        <v>177.2</v>
      </c>
    </row>
    <row r="365" spans="1:30" x14ac:dyDescent="0.25">
      <c r="A365" t="s">
        <v>30</v>
      </c>
      <c r="B365">
        <v>2023</v>
      </c>
      <c r="C365" t="s">
        <v>36</v>
      </c>
      <c r="D365">
        <v>174.3</v>
      </c>
      <c r="E365">
        <v>205.2</v>
      </c>
      <c r="F365">
        <v>173.9</v>
      </c>
      <c r="G365">
        <v>177</v>
      </c>
      <c r="H365">
        <v>183.3</v>
      </c>
      <c r="I365">
        <v>167.2</v>
      </c>
      <c r="J365">
        <v>140.9</v>
      </c>
      <c r="K365">
        <v>170.5</v>
      </c>
      <c r="L365">
        <v>119.1</v>
      </c>
      <c r="M365">
        <v>212.1</v>
      </c>
      <c r="N365">
        <v>177.6</v>
      </c>
      <c r="O365">
        <v>189.9</v>
      </c>
      <c r="P365">
        <v>174.8</v>
      </c>
      <c r="Q365">
        <v>198.4</v>
      </c>
      <c r="R365">
        <v>190</v>
      </c>
      <c r="S365">
        <v>187</v>
      </c>
      <c r="T365">
        <v>189.6</v>
      </c>
      <c r="U365" t="s">
        <v>32</v>
      </c>
      <c r="V365">
        <v>181.4</v>
      </c>
      <c r="W365">
        <v>178.6</v>
      </c>
      <c r="X365">
        <v>186.6</v>
      </c>
      <c r="Y365">
        <v>169</v>
      </c>
      <c r="Z365">
        <v>172.8</v>
      </c>
      <c r="AA365">
        <v>178.5</v>
      </c>
      <c r="AB365">
        <v>180.7</v>
      </c>
      <c r="AC365">
        <v>177.9</v>
      </c>
      <c r="AD365">
        <v>178</v>
      </c>
    </row>
    <row r="366" spans="1:30" x14ac:dyDescent="0.25">
      <c r="A366" t="s">
        <v>33</v>
      </c>
      <c r="B366">
        <v>2023</v>
      </c>
      <c r="C366" t="s">
        <v>36</v>
      </c>
      <c r="D366">
        <v>174.7</v>
      </c>
      <c r="E366">
        <v>212.2</v>
      </c>
      <c r="F366">
        <v>177.2</v>
      </c>
      <c r="G366">
        <v>177.9</v>
      </c>
      <c r="H366">
        <v>172.2</v>
      </c>
      <c r="I366">
        <v>172.1</v>
      </c>
      <c r="J366">
        <v>175.9</v>
      </c>
      <c r="K366">
        <v>172.2</v>
      </c>
      <c r="L366">
        <v>121.9</v>
      </c>
      <c r="M366">
        <v>204.8</v>
      </c>
      <c r="N366">
        <v>164.9</v>
      </c>
      <c r="O366">
        <v>196.6</v>
      </c>
      <c r="P366">
        <v>180.8</v>
      </c>
      <c r="Q366">
        <v>202.7</v>
      </c>
      <c r="R366">
        <v>180.2</v>
      </c>
      <c r="S366">
        <v>167</v>
      </c>
      <c r="T366">
        <v>178.2</v>
      </c>
      <c r="U366">
        <v>173.5</v>
      </c>
      <c r="V366">
        <v>182.6</v>
      </c>
      <c r="W366">
        <v>169.2</v>
      </c>
      <c r="X366">
        <v>180.8</v>
      </c>
      <c r="Y366">
        <v>159.80000000000001</v>
      </c>
      <c r="Z366">
        <v>168.4</v>
      </c>
      <c r="AA366">
        <v>172.5</v>
      </c>
      <c r="AB366">
        <v>181.5</v>
      </c>
      <c r="AC366">
        <v>170</v>
      </c>
      <c r="AD366">
        <v>176.3</v>
      </c>
    </row>
    <row r="367" spans="1:30" x14ac:dyDescent="0.25">
      <c r="A367" t="s">
        <v>34</v>
      </c>
      <c r="B367">
        <v>2023</v>
      </c>
      <c r="C367" t="s">
        <v>36</v>
      </c>
      <c r="D367">
        <v>174.4</v>
      </c>
      <c r="E367">
        <v>207.7</v>
      </c>
      <c r="F367">
        <v>175.2</v>
      </c>
      <c r="G367">
        <v>177.3</v>
      </c>
      <c r="H367">
        <v>179.2</v>
      </c>
      <c r="I367">
        <v>169.5</v>
      </c>
      <c r="J367">
        <v>152.80000000000001</v>
      </c>
      <c r="K367">
        <v>171.1</v>
      </c>
      <c r="L367">
        <v>120</v>
      </c>
      <c r="M367">
        <v>209.7</v>
      </c>
      <c r="N367">
        <v>172.3</v>
      </c>
      <c r="O367">
        <v>193</v>
      </c>
      <c r="P367">
        <v>177</v>
      </c>
      <c r="Q367">
        <v>199.5</v>
      </c>
      <c r="R367">
        <v>186.1</v>
      </c>
      <c r="S367">
        <v>178.7</v>
      </c>
      <c r="T367">
        <v>185.1</v>
      </c>
      <c r="U367">
        <v>173.5</v>
      </c>
      <c r="V367">
        <v>181.9</v>
      </c>
      <c r="W367">
        <v>174.2</v>
      </c>
      <c r="X367">
        <v>184.4</v>
      </c>
      <c r="Y367">
        <v>164.2</v>
      </c>
      <c r="Z367">
        <v>170.3</v>
      </c>
      <c r="AA367">
        <v>175</v>
      </c>
      <c r="AB367">
        <v>181</v>
      </c>
      <c r="AC367">
        <v>174.1</v>
      </c>
      <c r="AD367">
        <v>177.2</v>
      </c>
    </row>
    <row r="368" spans="1:30" x14ac:dyDescent="0.25">
      <c r="A368" t="s">
        <v>30</v>
      </c>
      <c r="B368">
        <v>2023</v>
      </c>
      <c r="C368" t="s">
        <v>37</v>
      </c>
      <c r="D368">
        <v>173.3</v>
      </c>
      <c r="E368">
        <v>206.9</v>
      </c>
      <c r="F368">
        <v>167.9</v>
      </c>
      <c r="G368">
        <v>178.2</v>
      </c>
      <c r="H368">
        <v>178.5</v>
      </c>
      <c r="I368">
        <v>173.7</v>
      </c>
      <c r="J368">
        <v>142.80000000000001</v>
      </c>
      <c r="K368">
        <v>172.8</v>
      </c>
      <c r="L368">
        <v>120.4</v>
      </c>
      <c r="M368">
        <v>215.5</v>
      </c>
      <c r="N368">
        <v>178.2</v>
      </c>
      <c r="O368">
        <v>190.5</v>
      </c>
      <c r="P368">
        <v>175.5</v>
      </c>
      <c r="Q368">
        <v>199.5</v>
      </c>
      <c r="R368">
        <v>190.7</v>
      </c>
      <c r="S368">
        <v>187.3</v>
      </c>
      <c r="T368">
        <v>190.2</v>
      </c>
      <c r="U368" t="s">
        <v>48</v>
      </c>
      <c r="V368">
        <v>181.5</v>
      </c>
      <c r="W368">
        <v>179.1</v>
      </c>
      <c r="X368">
        <v>187.2</v>
      </c>
      <c r="Y368">
        <v>169.4</v>
      </c>
      <c r="Z368">
        <v>173.2</v>
      </c>
      <c r="AA368">
        <v>179.4</v>
      </c>
      <c r="AB368">
        <v>183.8</v>
      </c>
      <c r="AC368">
        <v>178.9</v>
      </c>
      <c r="AD368">
        <v>178.8</v>
      </c>
    </row>
    <row r="369" spans="1:30" x14ac:dyDescent="0.25">
      <c r="A369" t="s">
        <v>33</v>
      </c>
      <c r="B369">
        <v>2023</v>
      </c>
      <c r="C369" t="s">
        <v>37</v>
      </c>
      <c r="D369">
        <v>174.8</v>
      </c>
      <c r="E369">
        <v>213.7</v>
      </c>
      <c r="F369">
        <v>172.4</v>
      </c>
      <c r="G369">
        <v>178.8</v>
      </c>
      <c r="H369">
        <v>168.7</v>
      </c>
      <c r="I369">
        <v>179.2</v>
      </c>
      <c r="J369">
        <v>179.9</v>
      </c>
      <c r="K369">
        <v>174.7</v>
      </c>
      <c r="L369">
        <v>123.1</v>
      </c>
      <c r="M369">
        <v>207.8</v>
      </c>
      <c r="N369">
        <v>165.5</v>
      </c>
      <c r="O369">
        <v>197</v>
      </c>
      <c r="P369">
        <v>182.1</v>
      </c>
      <c r="Q369">
        <v>203.5</v>
      </c>
      <c r="R369">
        <v>181</v>
      </c>
      <c r="S369">
        <v>167.7</v>
      </c>
      <c r="T369">
        <v>178.9</v>
      </c>
      <c r="U369">
        <v>175.2</v>
      </c>
      <c r="V369">
        <v>182.1</v>
      </c>
      <c r="W369">
        <v>169.6</v>
      </c>
      <c r="X369">
        <v>181.5</v>
      </c>
      <c r="Y369">
        <v>160.1</v>
      </c>
      <c r="Z369">
        <v>168.8</v>
      </c>
      <c r="AA369">
        <v>174.2</v>
      </c>
      <c r="AB369">
        <v>184.4</v>
      </c>
      <c r="AC369">
        <v>170.9</v>
      </c>
      <c r="AD369">
        <v>177.4</v>
      </c>
    </row>
    <row r="370" spans="1:30" x14ac:dyDescent="0.25">
      <c r="A370" t="s">
        <v>34</v>
      </c>
      <c r="B370">
        <v>2023</v>
      </c>
      <c r="C370" t="s">
        <v>37</v>
      </c>
      <c r="D370">
        <v>173.8</v>
      </c>
      <c r="E370">
        <v>209.3</v>
      </c>
      <c r="F370">
        <v>169.6</v>
      </c>
      <c r="G370">
        <v>178.4</v>
      </c>
      <c r="H370">
        <v>174.9</v>
      </c>
      <c r="I370">
        <v>176.3</v>
      </c>
      <c r="J370">
        <v>155.4</v>
      </c>
      <c r="K370">
        <v>173.4</v>
      </c>
      <c r="L370">
        <v>121.3</v>
      </c>
      <c r="M370">
        <v>212.9</v>
      </c>
      <c r="N370">
        <v>172.9</v>
      </c>
      <c r="O370">
        <v>193.5</v>
      </c>
      <c r="P370">
        <v>177.9</v>
      </c>
      <c r="Q370">
        <v>200.6</v>
      </c>
      <c r="R370">
        <v>186.9</v>
      </c>
      <c r="S370">
        <v>179.2</v>
      </c>
      <c r="T370">
        <v>185.7</v>
      </c>
      <c r="U370">
        <v>175.2</v>
      </c>
      <c r="V370">
        <v>181.7</v>
      </c>
      <c r="W370">
        <v>174.6</v>
      </c>
      <c r="X370">
        <v>185</v>
      </c>
      <c r="Y370">
        <v>164.5</v>
      </c>
      <c r="Z370">
        <v>170.7</v>
      </c>
      <c r="AA370">
        <v>176.4</v>
      </c>
      <c r="AB370">
        <v>184</v>
      </c>
      <c r="AC370">
        <v>175</v>
      </c>
      <c r="AD370">
        <v>178.1</v>
      </c>
    </row>
    <row r="371" spans="1:30" x14ac:dyDescent="0.25">
      <c r="A371" t="s">
        <v>30</v>
      </c>
      <c r="B371">
        <v>2023</v>
      </c>
      <c r="C371" t="s">
        <v>38</v>
      </c>
      <c r="D371">
        <v>173.2</v>
      </c>
      <c r="E371">
        <v>211.5</v>
      </c>
      <c r="F371">
        <v>171</v>
      </c>
      <c r="G371">
        <v>179.6</v>
      </c>
      <c r="H371">
        <v>173.3</v>
      </c>
      <c r="I371">
        <v>169</v>
      </c>
      <c r="J371">
        <v>148.69999999999999</v>
      </c>
      <c r="K371">
        <v>174.9</v>
      </c>
      <c r="L371">
        <v>121.9</v>
      </c>
      <c r="M371">
        <v>221</v>
      </c>
      <c r="N371">
        <v>178.7</v>
      </c>
      <c r="O371">
        <v>191.1</v>
      </c>
      <c r="P371">
        <v>176.8</v>
      </c>
      <c r="Q371">
        <v>199.9</v>
      </c>
      <c r="R371">
        <v>191.2</v>
      </c>
      <c r="S371">
        <v>187.9</v>
      </c>
      <c r="T371">
        <v>190.8</v>
      </c>
      <c r="U371" t="s">
        <v>48</v>
      </c>
      <c r="V371">
        <v>182.5</v>
      </c>
      <c r="W371">
        <v>179.8</v>
      </c>
      <c r="X371">
        <v>187.8</v>
      </c>
      <c r="Y371">
        <v>169.7</v>
      </c>
      <c r="Z371">
        <v>173.8</v>
      </c>
      <c r="AA371">
        <v>180.3</v>
      </c>
      <c r="AB371">
        <v>184.9</v>
      </c>
      <c r="AC371">
        <v>179.5</v>
      </c>
      <c r="AD371">
        <v>179.8</v>
      </c>
    </row>
    <row r="372" spans="1:30" x14ac:dyDescent="0.25">
      <c r="A372" t="s">
        <v>33</v>
      </c>
      <c r="B372">
        <v>2023</v>
      </c>
      <c r="C372" t="s">
        <v>38</v>
      </c>
      <c r="D372">
        <v>174.7</v>
      </c>
      <c r="E372">
        <v>219.4</v>
      </c>
      <c r="F372">
        <v>176.7</v>
      </c>
      <c r="G372">
        <v>179.4</v>
      </c>
      <c r="H372">
        <v>164.4</v>
      </c>
      <c r="I372">
        <v>175.8</v>
      </c>
      <c r="J372">
        <v>185</v>
      </c>
      <c r="K372">
        <v>176.9</v>
      </c>
      <c r="L372">
        <v>124.2</v>
      </c>
      <c r="M372">
        <v>211.9</v>
      </c>
      <c r="N372">
        <v>165.9</v>
      </c>
      <c r="O372">
        <v>197.7</v>
      </c>
      <c r="P372">
        <v>183.1</v>
      </c>
      <c r="Q372">
        <v>204.2</v>
      </c>
      <c r="R372">
        <v>181.3</v>
      </c>
      <c r="S372">
        <v>168.1</v>
      </c>
      <c r="T372">
        <v>179.3</v>
      </c>
      <c r="U372">
        <v>175.6</v>
      </c>
      <c r="V372">
        <v>183.4</v>
      </c>
      <c r="W372">
        <v>170.1</v>
      </c>
      <c r="X372">
        <v>182.2</v>
      </c>
      <c r="Y372">
        <v>160.4</v>
      </c>
      <c r="Z372">
        <v>169.2</v>
      </c>
      <c r="AA372">
        <v>174.8</v>
      </c>
      <c r="AB372">
        <v>185.6</v>
      </c>
      <c r="AC372">
        <v>171.6</v>
      </c>
      <c r="AD372">
        <v>178.2</v>
      </c>
    </row>
    <row r="373" spans="1:30" x14ac:dyDescent="0.25">
      <c r="A373" t="s">
        <v>34</v>
      </c>
      <c r="B373">
        <v>2023</v>
      </c>
      <c r="C373" t="s">
        <v>38</v>
      </c>
      <c r="D373">
        <v>173.7</v>
      </c>
      <c r="E373">
        <v>214.3</v>
      </c>
      <c r="F373">
        <v>173.2</v>
      </c>
      <c r="G373">
        <v>179.5</v>
      </c>
      <c r="H373">
        <v>170</v>
      </c>
      <c r="I373">
        <v>172.2</v>
      </c>
      <c r="J373">
        <v>161</v>
      </c>
      <c r="K373">
        <v>175.6</v>
      </c>
      <c r="L373">
        <v>122.7</v>
      </c>
      <c r="M373">
        <v>218</v>
      </c>
      <c r="N373">
        <v>173.4</v>
      </c>
      <c r="O373">
        <v>194.2</v>
      </c>
      <c r="P373">
        <v>179.1</v>
      </c>
      <c r="Q373">
        <v>201</v>
      </c>
      <c r="R373">
        <v>187.3</v>
      </c>
      <c r="S373">
        <v>179.7</v>
      </c>
      <c r="T373">
        <v>186.2</v>
      </c>
      <c r="U373">
        <v>175.6</v>
      </c>
      <c r="V373">
        <v>182.8</v>
      </c>
      <c r="W373">
        <v>175.2</v>
      </c>
      <c r="X373">
        <v>185.7</v>
      </c>
      <c r="Y373">
        <v>164.8</v>
      </c>
      <c r="Z373">
        <v>171.2</v>
      </c>
      <c r="AA373">
        <v>177.1</v>
      </c>
      <c r="AB373">
        <v>185.2</v>
      </c>
      <c r="AC373">
        <v>175.7</v>
      </c>
      <c r="AD373">
        <v>179.1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18F30F-6690-44DD-8584-5078849EAAAC}">
  <dimension ref="A1:AF373"/>
  <sheetViews>
    <sheetView topLeftCell="A287" workbookViewId="0">
      <selection activeCell="I61" sqref="A1:AF373"/>
    </sheetView>
  </sheetViews>
  <sheetFormatPr defaultRowHeight="15" x14ac:dyDescent="0.25"/>
  <cols>
    <col min="1" max="1" width="12.140625" bestFit="1" customWidth="1"/>
    <col min="3" max="3" width="10.42578125" style="1" bestFit="1" customWidth="1"/>
    <col min="4" max="4" width="9.42578125" style="2" bestFit="1" customWidth="1"/>
    <col min="5" max="5" width="22.28515625" customWidth="1"/>
    <col min="6" max="6" width="15.140625" customWidth="1"/>
    <col min="8" max="8" width="19" customWidth="1"/>
    <col min="9" max="9" width="14.28515625" customWidth="1"/>
    <col min="11" max="11" width="13.140625" customWidth="1"/>
    <col min="12" max="12" width="21.28515625" customWidth="1"/>
    <col min="13" max="13" width="25.28515625" customWidth="1"/>
    <col min="15" max="15" width="25.42578125" customWidth="1"/>
    <col min="16" max="16" width="35.5703125" customWidth="1"/>
    <col min="17" max="17" width="21" customWidth="1"/>
    <col min="18" max="18" width="28.7109375" customWidth="1"/>
    <col min="19" max="19" width="10.85546875" customWidth="1"/>
    <col min="20" max="20" width="11.42578125" customWidth="1"/>
    <col min="21" max="21" width="23" customWidth="1"/>
    <col min="22" max="22" width="10.5703125" customWidth="1"/>
    <col min="23" max="23" width="15.140625" customWidth="1"/>
    <col min="24" max="24" width="30.5703125" customWidth="1"/>
    <col min="26" max="26" width="29.85546875" customWidth="1"/>
    <col min="27" max="27" width="27.85546875" customWidth="1"/>
    <col min="28" max="28" width="12.140625" customWidth="1"/>
    <col min="29" max="29" width="25.85546875" customWidth="1"/>
    <col min="30" max="30" width="16.140625" customWidth="1"/>
    <col min="31" max="31" width="15.7109375" customWidth="1"/>
    <col min="32" max="32" width="15.7109375" bestFit="1" customWidth="1"/>
  </cols>
  <sheetData>
    <row r="1" spans="1:32" x14ac:dyDescent="0.25">
      <c r="A1" t="s">
        <v>0</v>
      </c>
      <c r="B1" t="s">
        <v>1</v>
      </c>
      <c r="C1" s="1" t="s">
        <v>2</v>
      </c>
      <c r="D1" s="2" t="s">
        <v>49</v>
      </c>
      <c r="E1" t="s">
        <v>3</v>
      </c>
      <c r="F1" t="s">
        <v>4</v>
      </c>
      <c r="G1" t="s">
        <v>5</v>
      </c>
      <c r="H1" t="s">
        <v>6</v>
      </c>
      <c r="I1" t="s">
        <v>7</v>
      </c>
      <c r="J1" t="s">
        <v>8</v>
      </c>
      <c r="K1" t="s">
        <v>9</v>
      </c>
      <c r="L1" t="s">
        <v>10</v>
      </c>
      <c r="M1" t="s">
        <v>11</v>
      </c>
      <c r="N1" t="s">
        <v>12</v>
      </c>
      <c r="O1" t="s">
        <v>13</v>
      </c>
      <c r="P1" t="s">
        <v>14</v>
      </c>
      <c r="Q1" t="s">
        <v>15</v>
      </c>
      <c r="R1" t="s">
        <v>16</v>
      </c>
      <c r="S1" t="s">
        <v>17</v>
      </c>
      <c r="T1" t="s">
        <v>18</v>
      </c>
      <c r="U1" t="s">
        <v>19</v>
      </c>
      <c r="V1" t="s">
        <v>20</v>
      </c>
      <c r="W1" t="s">
        <v>21</v>
      </c>
      <c r="X1" t="s">
        <v>22</v>
      </c>
      <c r="Y1" t="s">
        <v>23</v>
      </c>
      <c r="Z1" t="s">
        <v>24</v>
      </c>
      <c r="AA1" t="s">
        <v>25</v>
      </c>
      <c r="AB1" t="s">
        <v>26</v>
      </c>
      <c r="AC1" t="s">
        <v>27</v>
      </c>
      <c r="AD1" t="s">
        <v>28</v>
      </c>
      <c r="AE1" t="s">
        <v>29</v>
      </c>
      <c r="AF1" t="s">
        <v>94</v>
      </c>
    </row>
    <row r="2" spans="1:32" hidden="1" x14ac:dyDescent="0.25">
      <c r="A2" t="s">
        <v>30</v>
      </c>
      <c r="B2">
        <v>2013</v>
      </c>
      <c r="C2" s="1" t="s">
        <v>31</v>
      </c>
      <c r="D2" s="2">
        <f>DATE(CPI_Data[[#This Row],[Year]],MATCH(CPI_Data[[#This Row],[Month]],{"January","February","March","April","May","June","July","August","September","October","November","December"},0),1)</f>
        <v>41275</v>
      </c>
      <c r="E2">
        <v>107.5</v>
      </c>
      <c r="F2">
        <v>106.3</v>
      </c>
      <c r="G2">
        <v>108.1</v>
      </c>
      <c r="H2">
        <v>104.9</v>
      </c>
      <c r="I2">
        <v>106.1</v>
      </c>
      <c r="J2">
        <v>103.9</v>
      </c>
      <c r="K2">
        <v>101.9</v>
      </c>
      <c r="L2">
        <v>106.1</v>
      </c>
      <c r="M2">
        <v>106.8</v>
      </c>
      <c r="N2">
        <v>103.1</v>
      </c>
      <c r="O2">
        <v>104.8</v>
      </c>
      <c r="P2">
        <v>106.7</v>
      </c>
      <c r="Q2">
        <v>105.5</v>
      </c>
      <c r="R2">
        <v>105.1</v>
      </c>
      <c r="S2">
        <v>106.5</v>
      </c>
      <c r="T2">
        <v>105.8</v>
      </c>
      <c r="U2">
        <v>106.4</v>
      </c>
      <c r="V2" t="s">
        <v>32</v>
      </c>
      <c r="W2">
        <v>105.5</v>
      </c>
      <c r="X2">
        <v>104.8</v>
      </c>
      <c r="Y2">
        <v>104</v>
      </c>
      <c r="Z2">
        <v>103.3</v>
      </c>
      <c r="AA2">
        <v>103.4</v>
      </c>
      <c r="AB2">
        <v>103.8</v>
      </c>
      <c r="AC2">
        <v>104.7</v>
      </c>
      <c r="AD2">
        <v>104</v>
      </c>
      <c r="AE2">
        <v>105.1</v>
      </c>
      <c r="AF2" t="str">
        <f>IF(AND(CPI_Data[[#This Row],[Date]]&gt;=DATE(2019,3,1),CPI_Data[[#This Row],[Date]]&lt;DATE(2020,3,1)),"Pre-COVID",IF(AND(CPI_Data[[#This Row],[Date]]&gt;=DATE(2020,3,1),CPI_Data[[#This Row],[Date]]&lt;DATE(2021,3,1)),"Post-COVID",""))</f>
        <v/>
      </c>
    </row>
    <row r="3" spans="1:32" hidden="1" x14ac:dyDescent="0.25">
      <c r="A3" t="s">
        <v>33</v>
      </c>
      <c r="B3">
        <v>2013</v>
      </c>
      <c r="C3" s="1" t="s">
        <v>31</v>
      </c>
      <c r="D3" s="2">
        <f>DATE(CPI_Data[[#This Row],[Year]],MATCH(CPI_Data[[#This Row],[Month]],{"January","February","March","April","May","June","July","August","September","October","November","December"},0),1)</f>
        <v>41275</v>
      </c>
      <c r="E3">
        <v>110.5</v>
      </c>
      <c r="F3">
        <v>109.1</v>
      </c>
      <c r="G3">
        <v>113</v>
      </c>
      <c r="H3">
        <v>103.6</v>
      </c>
      <c r="I3">
        <v>103.4</v>
      </c>
      <c r="J3">
        <v>102.3</v>
      </c>
      <c r="K3">
        <v>102.9</v>
      </c>
      <c r="L3">
        <v>105.8</v>
      </c>
      <c r="M3">
        <v>105.1</v>
      </c>
      <c r="N3">
        <v>101.8</v>
      </c>
      <c r="O3">
        <v>105.1</v>
      </c>
      <c r="P3">
        <v>107.9</v>
      </c>
      <c r="Q3">
        <v>105.9</v>
      </c>
      <c r="R3">
        <v>105.2</v>
      </c>
      <c r="S3">
        <v>105.9</v>
      </c>
      <c r="T3">
        <v>105</v>
      </c>
      <c r="U3">
        <v>105.8</v>
      </c>
      <c r="V3">
        <v>100.3</v>
      </c>
      <c r="W3">
        <v>105.4</v>
      </c>
      <c r="X3">
        <v>104.8</v>
      </c>
      <c r="Y3">
        <v>104.1</v>
      </c>
      <c r="Z3">
        <v>103.2</v>
      </c>
      <c r="AA3">
        <v>102.9</v>
      </c>
      <c r="AB3">
        <v>103.5</v>
      </c>
      <c r="AC3">
        <v>104.3</v>
      </c>
      <c r="AD3">
        <v>103.7</v>
      </c>
      <c r="AE3">
        <v>104</v>
      </c>
      <c r="AF3" t="str">
        <f>IF(AND(CPI_Data[[#This Row],[Date]]&gt;=DATE(2019,3,1),CPI_Data[[#This Row],[Date]]&lt;DATE(2020,3,1)),"Pre-COVID",IF(AND(CPI_Data[[#This Row],[Date]]&gt;=DATE(2020,3,1),CPI_Data[[#This Row],[Date]]&lt;DATE(2021,3,1)),"Post-COVID",""))</f>
        <v/>
      </c>
    </row>
    <row r="4" spans="1:32" hidden="1" x14ac:dyDescent="0.25">
      <c r="A4" t="s">
        <v>34</v>
      </c>
      <c r="B4">
        <v>2013</v>
      </c>
      <c r="C4" s="1" t="s">
        <v>31</v>
      </c>
      <c r="D4" s="2">
        <f>DATE(CPI_Data[[#This Row],[Year]],MATCH(CPI_Data[[#This Row],[Month]],{"January","February","March","April","May","June","July","August","September","October","November","December"},0),1)</f>
        <v>41275</v>
      </c>
      <c r="E4">
        <v>108.4</v>
      </c>
      <c r="F4">
        <v>107.3</v>
      </c>
      <c r="G4">
        <v>110</v>
      </c>
      <c r="H4">
        <v>104.4</v>
      </c>
      <c r="I4">
        <v>105.1</v>
      </c>
      <c r="J4">
        <v>103.2</v>
      </c>
      <c r="K4">
        <v>102.2</v>
      </c>
      <c r="L4">
        <v>106</v>
      </c>
      <c r="M4">
        <v>106.2</v>
      </c>
      <c r="N4">
        <v>102.7</v>
      </c>
      <c r="O4">
        <v>104.9</v>
      </c>
      <c r="P4">
        <v>107.3</v>
      </c>
      <c r="Q4">
        <v>105.6</v>
      </c>
      <c r="R4">
        <v>105.1</v>
      </c>
      <c r="S4">
        <v>106.3</v>
      </c>
      <c r="T4">
        <v>105.5</v>
      </c>
      <c r="U4">
        <v>106.2</v>
      </c>
      <c r="V4">
        <v>100.3</v>
      </c>
      <c r="W4">
        <v>105.5</v>
      </c>
      <c r="X4">
        <v>104.8</v>
      </c>
      <c r="Y4">
        <v>104</v>
      </c>
      <c r="Z4">
        <v>103.2</v>
      </c>
      <c r="AA4">
        <v>103.1</v>
      </c>
      <c r="AB4">
        <v>103.6</v>
      </c>
      <c r="AC4">
        <v>104.5</v>
      </c>
      <c r="AD4">
        <v>103.9</v>
      </c>
      <c r="AE4">
        <v>104.6</v>
      </c>
      <c r="AF4" t="str">
        <f>IF(AND(CPI_Data[[#This Row],[Date]]&gt;=DATE(2019,3,1),CPI_Data[[#This Row],[Date]]&lt;DATE(2020,3,1)),"Pre-COVID",IF(AND(CPI_Data[[#This Row],[Date]]&gt;=DATE(2020,3,1),CPI_Data[[#This Row],[Date]]&lt;DATE(2021,3,1)),"Post-COVID",""))</f>
        <v/>
      </c>
    </row>
    <row r="5" spans="1:32" hidden="1" x14ac:dyDescent="0.25">
      <c r="A5" t="s">
        <v>30</v>
      </c>
      <c r="B5">
        <v>2013</v>
      </c>
      <c r="C5" s="1" t="s">
        <v>35</v>
      </c>
      <c r="D5" s="2">
        <f>DATE(CPI_Data[[#This Row],[Year]],MATCH(CPI_Data[[#This Row],[Month]],{"January","February","March","April","May","June","July","August","September","October","November","December"},0),1)</f>
        <v>41306</v>
      </c>
      <c r="E5">
        <v>109.2</v>
      </c>
      <c r="F5">
        <v>108.7</v>
      </c>
      <c r="G5">
        <v>110.2</v>
      </c>
      <c r="H5">
        <v>105.4</v>
      </c>
      <c r="I5">
        <v>106.7</v>
      </c>
      <c r="J5">
        <v>104</v>
      </c>
      <c r="K5">
        <v>102.4</v>
      </c>
      <c r="L5">
        <v>105.9</v>
      </c>
      <c r="M5">
        <v>105.7</v>
      </c>
      <c r="N5">
        <v>103.1</v>
      </c>
      <c r="O5">
        <v>105.1</v>
      </c>
      <c r="P5">
        <v>107.7</v>
      </c>
      <c r="Q5">
        <v>106.3</v>
      </c>
      <c r="R5">
        <v>105.6</v>
      </c>
      <c r="S5">
        <v>107.1</v>
      </c>
      <c r="T5">
        <v>106.3</v>
      </c>
      <c r="U5">
        <v>107</v>
      </c>
      <c r="V5" t="s">
        <v>32</v>
      </c>
      <c r="W5">
        <v>106.2</v>
      </c>
      <c r="X5">
        <v>105.2</v>
      </c>
      <c r="Y5">
        <v>104.4</v>
      </c>
      <c r="Z5">
        <v>103.9</v>
      </c>
      <c r="AA5">
        <v>104</v>
      </c>
      <c r="AB5">
        <v>104.1</v>
      </c>
      <c r="AC5">
        <v>104.6</v>
      </c>
      <c r="AD5">
        <v>104.4</v>
      </c>
      <c r="AE5">
        <v>105.8</v>
      </c>
      <c r="AF5" t="str">
        <f>IF(AND(CPI_Data[[#This Row],[Date]]&gt;=DATE(2019,3,1),CPI_Data[[#This Row],[Date]]&lt;DATE(2020,3,1)),"Pre-COVID",IF(AND(CPI_Data[[#This Row],[Date]]&gt;=DATE(2020,3,1),CPI_Data[[#This Row],[Date]]&lt;DATE(2021,3,1)),"Post-COVID",""))</f>
        <v/>
      </c>
    </row>
    <row r="6" spans="1:32" hidden="1" x14ac:dyDescent="0.25">
      <c r="A6" t="s">
        <v>33</v>
      </c>
      <c r="B6">
        <v>2013</v>
      </c>
      <c r="C6" s="1" t="s">
        <v>35</v>
      </c>
      <c r="D6" s="2">
        <f>DATE(CPI_Data[[#This Row],[Year]],MATCH(CPI_Data[[#This Row],[Month]],{"January","February","March","April","May","June","July","August","September","October","November","December"},0),1)</f>
        <v>41306</v>
      </c>
      <c r="E6">
        <v>112.9</v>
      </c>
      <c r="F6">
        <v>112.9</v>
      </c>
      <c r="G6">
        <v>116.9</v>
      </c>
      <c r="H6">
        <v>104</v>
      </c>
      <c r="I6">
        <v>103.5</v>
      </c>
      <c r="J6">
        <v>103.1</v>
      </c>
      <c r="K6">
        <v>104.9</v>
      </c>
      <c r="L6">
        <v>104.1</v>
      </c>
      <c r="M6">
        <v>103.8</v>
      </c>
      <c r="N6">
        <v>102.3</v>
      </c>
      <c r="O6">
        <v>106</v>
      </c>
      <c r="P6">
        <v>109</v>
      </c>
      <c r="Q6">
        <v>107.2</v>
      </c>
      <c r="R6">
        <v>106</v>
      </c>
      <c r="S6">
        <v>106.6</v>
      </c>
      <c r="T6">
        <v>105.5</v>
      </c>
      <c r="U6">
        <v>106.4</v>
      </c>
      <c r="V6">
        <v>100.4</v>
      </c>
      <c r="W6">
        <v>105.7</v>
      </c>
      <c r="X6">
        <v>105.2</v>
      </c>
      <c r="Y6">
        <v>104.7</v>
      </c>
      <c r="Z6">
        <v>104.4</v>
      </c>
      <c r="AA6">
        <v>103.3</v>
      </c>
      <c r="AB6">
        <v>103.7</v>
      </c>
      <c r="AC6">
        <v>104.3</v>
      </c>
      <c r="AD6">
        <v>104.3</v>
      </c>
      <c r="AE6">
        <v>104.7</v>
      </c>
      <c r="AF6" t="str">
        <f>IF(AND(CPI_Data[[#This Row],[Date]]&gt;=DATE(2019,3,1),CPI_Data[[#This Row],[Date]]&lt;DATE(2020,3,1)),"Pre-COVID",IF(AND(CPI_Data[[#This Row],[Date]]&gt;=DATE(2020,3,1),CPI_Data[[#This Row],[Date]]&lt;DATE(2021,3,1)),"Post-COVID",""))</f>
        <v/>
      </c>
    </row>
    <row r="7" spans="1:32" hidden="1" x14ac:dyDescent="0.25">
      <c r="A7" t="s">
        <v>34</v>
      </c>
      <c r="B7">
        <v>2013</v>
      </c>
      <c r="C7" s="1" t="s">
        <v>35</v>
      </c>
      <c r="D7" s="2">
        <f>DATE(CPI_Data[[#This Row],[Year]],MATCH(CPI_Data[[#This Row],[Month]],{"January","February","March","April","May","June","July","August","September","October","November","December"},0),1)</f>
        <v>41306</v>
      </c>
      <c r="E7">
        <v>110.4</v>
      </c>
      <c r="F7">
        <v>110.2</v>
      </c>
      <c r="G7">
        <v>112.8</v>
      </c>
      <c r="H7">
        <v>104.9</v>
      </c>
      <c r="I7">
        <v>105.5</v>
      </c>
      <c r="J7">
        <v>103.6</v>
      </c>
      <c r="K7">
        <v>103.2</v>
      </c>
      <c r="L7">
        <v>105.3</v>
      </c>
      <c r="M7">
        <v>105.1</v>
      </c>
      <c r="N7">
        <v>102.8</v>
      </c>
      <c r="O7">
        <v>105.5</v>
      </c>
      <c r="P7">
        <v>108.3</v>
      </c>
      <c r="Q7">
        <v>106.6</v>
      </c>
      <c r="R7">
        <v>105.7</v>
      </c>
      <c r="S7">
        <v>106.9</v>
      </c>
      <c r="T7">
        <v>106</v>
      </c>
      <c r="U7">
        <v>106.8</v>
      </c>
      <c r="V7">
        <v>100.4</v>
      </c>
      <c r="W7">
        <v>106</v>
      </c>
      <c r="X7">
        <v>105.2</v>
      </c>
      <c r="Y7">
        <v>104.5</v>
      </c>
      <c r="Z7">
        <v>104.2</v>
      </c>
      <c r="AA7">
        <v>103.6</v>
      </c>
      <c r="AB7">
        <v>103.9</v>
      </c>
      <c r="AC7">
        <v>104.5</v>
      </c>
      <c r="AD7">
        <v>104.4</v>
      </c>
      <c r="AE7">
        <v>105.3</v>
      </c>
      <c r="AF7" t="str">
        <f>IF(AND(CPI_Data[[#This Row],[Date]]&gt;=DATE(2019,3,1),CPI_Data[[#This Row],[Date]]&lt;DATE(2020,3,1)),"Pre-COVID",IF(AND(CPI_Data[[#This Row],[Date]]&gt;=DATE(2020,3,1),CPI_Data[[#This Row],[Date]]&lt;DATE(2021,3,1)),"Post-COVID",""))</f>
        <v/>
      </c>
    </row>
    <row r="8" spans="1:32" hidden="1" x14ac:dyDescent="0.25">
      <c r="A8" t="s">
        <v>30</v>
      </c>
      <c r="B8">
        <v>2013</v>
      </c>
      <c r="C8" s="1" t="s">
        <v>36</v>
      </c>
      <c r="D8" s="2">
        <f>DATE(CPI_Data[[#This Row],[Year]],MATCH(CPI_Data[[#This Row],[Month]],{"January","February","March","April","May","June","July","August","September","October","November","December"},0),1)</f>
        <v>41334</v>
      </c>
      <c r="E8">
        <v>110.2</v>
      </c>
      <c r="F8">
        <v>108.8</v>
      </c>
      <c r="G8">
        <v>109.9</v>
      </c>
      <c r="H8">
        <v>105.6</v>
      </c>
      <c r="I8">
        <v>106.2</v>
      </c>
      <c r="J8">
        <v>105.7</v>
      </c>
      <c r="K8">
        <v>101.4</v>
      </c>
      <c r="L8">
        <v>105.7</v>
      </c>
      <c r="M8">
        <v>105</v>
      </c>
      <c r="N8">
        <v>103.3</v>
      </c>
      <c r="O8">
        <v>105.6</v>
      </c>
      <c r="P8">
        <v>108.2</v>
      </c>
      <c r="Q8">
        <v>106.6</v>
      </c>
      <c r="R8">
        <v>106.5</v>
      </c>
      <c r="S8">
        <v>107.6</v>
      </c>
      <c r="T8">
        <v>106.8</v>
      </c>
      <c r="U8">
        <v>107.5</v>
      </c>
      <c r="V8" t="s">
        <v>32</v>
      </c>
      <c r="W8">
        <v>106.1</v>
      </c>
      <c r="X8">
        <v>105.6</v>
      </c>
      <c r="Y8">
        <v>104.7</v>
      </c>
      <c r="Z8">
        <v>104.6</v>
      </c>
      <c r="AA8">
        <v>104</v>
      </c>
      <c r="AB8">
        <v>104.3</v>
      </c>
      <c r="AC8">
        <v>104.3</v>
      </c>
      <c r="AD8">
        <v>104.6</v>
      </c>
      <c r="AE8">
        <v>106</v>
      </c>
      <c r="AF8" t="str">
        <f>IF(AND(CPI_Data[[#This Row],[Date]]&gt;=DATE(2019,3,1),CPI_Data[[#This Row],[Date]]&lt;DATE(2020,3,1)),"Pre-COVID",IF(AND(CPI_Data[[#This Row],[Date]]&gt;=DATE(2020,3,1),CPI_Data[[#This Row],[Date]]&lt;DATE(2021,3,1)),"Post-COVID",""))</f>
        <v/>
      </c>
    </row>
    <row r="9" spans="1:32" hidden="1" x14ac:dyDescent="0.25">
      <c r="A9" t="s">
        <v>33</v>
      </c>
      <c r="B9">
        <v>2013</v>
      </c>
      <c r="C9" s="1" t="s">
        <v>36</v>
      </c>
      <c r="D9" s="2">
        <f>DATE(CPI_Data[[#This Row],[Year]],MATCH(CPI_Data[[#This Row],[Month]],{"January","February","March","April","May","June","July","August","September","October","November","December"},0),1)</f>
        <v>41334</v>
      </c>
      <c r="E9">
        <v>113.9</v>
      </c>
      <c r="F9">
        <v>111.4</v>
      </c>
      <c r="G9">
        <v>113.2</v>
      </c>
      <c r="H9">
        <v>104.3</v>
      </c>
      <c r="I9">
        <v>102.7</v>
      </c>
      <c r="J9">
        <v>104.9</v>
      </c>
      <c r="K9">
        <v>103.8</v>
      </c>
      <c r="L9">
        <v>103.5</v>
      </c>
      <c r="M9">
        <v>102.6</v>
      </c>
      <c r="N9">
        <v>102.4</v>
      </c>
      <c r="O9">
        <v>107</v>
      </c>
      <c r="P9">
        <v>109.8</v>
      </c>
      <c r="Q9">
        <v>107.3</v>
      </c>
      <c r="R9">
        <v>106.8</v>
      </c>
      <c r="S9">
        <v>107.2</v>
      </c>
      <c r="T9">
        <v>106</v>
      </c>
      <c r="U9">
        <v>107</v>
      </c>
      <c r="V9">
        <v>100.4</v>
      </c>
      <c r="W9">
        <v>106</v>
      </c>
      <c r="X9">
        <v>105.7</v>
      </c>
      <c r="Y9">
        <v>105.2</v>
      </c>
      <c r="Z9">
        <v>105.5</v>
      </c>
      <c r="AA9">
        <v>103.5</v>
      </c>
      <c r="AB9">
        <v>103.8</v>
      </c>
      <c r="AC9">
        <v>104.2</v>
      </c>
      <c r="AD9">
        <v>104.9</v>
      </c>
      <c r="AE9">
        <v>105</v>
      </c>
      <c r="AF9" t="str">
        <f>IF(AND(CPI_Data[[#This Row],[Date]]&gt;=DATE(2019,3,1),CPI_Data[[#This Row],[Date]]&lt;DATE(2020,3,1)),"Pre-COVID",IF(AND(CPI_Data[[#This Row],[Date]]&gt;=DATE(2020,3,1),CPI_Data[[#This Row],[Date]]&lt;DATE(2021,3,1)),"Post-COVID",""))</f>
        <v/>
      </c>
    </row>
    <row r="10" spans="1:32" hidden="1" x14ac:dyDescent="0.25">
      <c r="A10" t="s">
        <v>34</v>
      </c>
      <c r="B10">
        <v>2013</v>
      </c>
      <c r="C10" s="1" t="s">
        <v>36</v>
      </c>
      <c r="D10" s="2">
        <f>DATE(CPI_Data[[#This Row],[Year]],MATCH(CPI_Data[[#This Row],[Month]],{"January","February","March","April","May","June","July","August","September","October","November","December"},0),1)</f>
        <v>41334</v>
      </c>
      <c r="E10">
        <v>111.4</v>
      </c>
      <c r="F10">
        <v>109.7</v>
      </c>
      <c r="G10">
        <v>111.2</v>
      </c>
      <c r="H10">
        <v>105.1</v>
      </c>
      <c r="I10">
        <v>104.9</v>
      </c>
      <c r="J10">
        <v>105.3</v>
      </c>
      <c r="K10">
        <v>102.2</v>
      </c>
      <c r="L10">
        <v>105</v>
      </c>
      <c r="M10">
        <v>104.2</v>
      </c>
      <c r="N10">
        <v>103</v>
      </c>
      <c r="O10">
        <v>106.2</v>
      </c>
      <c r="P10">
        <v>108.9</v>
      </c>
      <c r="Q10">
        <v>106.9</v>
      </c>
      <c r="R10">
        <v>106.6</v>
      </c>
      <c r="S10">
        <v>107.4</v>
      </c>
      <c r="T10">
        <v>106.5</v>
      </c>
      <c r="U10">
        <v>107.3</v>
      </c>
      <c r="V10">
        <v>100.4</v>
      </c>
      <c r="W10">
        <v>106.1</v>
      </c>
      <c r="X10">
        <v>105.6</v>
      </c>
      <c r="Y10">
        <v>104.9</v>
      </c>
      <c r="Z10">
        <v>105.1</v>
      </c>
      <c r="AA10">
        <v>103.7</v>
      </c>
      <c r="AB10">
        <v>104</v>
      </c>
      <c r="AC10">
        <v>104.3</v>
      </c>
      <c r="AD10">
        <v>104.7</v>
      </c>
      <c r="AE10">
        <v>105.5</v>
      </c>
      <c r="AF10" t="str">
        <f>IF(AND(CPI_Data[[#This Row],[Date]]&gt;=DATE(2019,3,1),CPI_Data[[#This Row],[Date]]&lt;DATE(2020,3,1)),"Pre-COVID",IF(AND(CPI_Data[[#This Row],[Date]]&gt;=DATE(2020,3,1),CPI_Data[[#This Row],[Date]]&lt;DATE(2021,3,1)),"Post-COVID",""))</f>
        <v/>
      </c>
    </row>
    <row r="11" spans="1:32" hidden="1" x14ac:dyDescent="0.25">
      <c r="A11" t="s">
        <v>30</v>
      </c>
      <c r="B11">
        <v>2013</v>
      </c>
      <c r="C11" s="1" t="s">
        <v>37</v>
      </c>
      <c r="D11" s="2">
        <f>DATE(CPI_Data[[#This Row],[Year]],MATCH(CPI_Data[[#This Row],[Month]],{"January","February","March","April","May","June","July","August","September","October","November","December"},0),1)</f>
        <v>41365</v>
      </c>
      <c r="E11">
        <v>110.2</v>
      </c>
      <c r="F11">
        <v>109.5</v>
      </c>
      <c r="G11">
        <v>106.9</v>
      </c>
      <c r="H11">
        <v>106.3</v>
      </c>
      <c r="I11">
        <v>105.7</v>
      </c>
      <c r="J11">
        <v>108.3</v>
      </c>
      <c r="K11">
        <v>103.4</v>
      </c>
      <c r="L11">
        <v>105.7</v>
      </c>
      <c r="M11">
        <v>104.2</v>
      </c>
      <c r="N11">
        <v>103.2</v>
      </c>
      <c r="O11">
        <v>106.5</v>
      </c>
      <c r="P11">
        <v>108.8</v>
      </c>
      <c r="Q11">
        <v>107.1</v>
      </c>
      <c r="R11">
        <v>107.1</v>
      </c>
      <c r="S11">
        <v>108.1</v>
      </c>
      <c r="T11">
        <v>107.4</v>
      </c>
      <c r="U11">
        <v>108</v>
      </c>
      <c r="V11" t="s">
        <v>32</v>
      </c>
      <c r="W11">
        <v>106.5</v>
      </c>
      <c r="X11">
        <v>106.1</v>
      </c>
      <c r="Y11">
        <v>105.1</v>
      </c>
      <c r="Z11">
        <v>104.4</v>
      </c>
      <c r="AA11">
        <v>104.5</v>
      </c>
      <c r="AB11">
        <v>104.8</v>
      </c>
      <c r="AC11">
        <v>102.7</v>
      </c>
      <c r="AD11">
        <v>104.6</v>
      </c>
      <c r="AE11">
        <v>106.4</v>
      </c>
      <c r="AF11" t="str">
        <f>IF(AND(CPI_Data[[#This Row],[Date]]&gt;=DATE(2019,3,1),CPI_Data[[#This Row],[Date]]&lt;DATE(2020,3,1)),"Pre-COVID",IF(AND(CPI_Data[[#This Row],[Date]]&gt;=DATE(2020,3,1),CPI_Data[[#This Row],[Date]]&lt;DATE(2021,3,1)),"Post-COVID",""))</f>
        <v/>
      </c>
    </row>
    <row r="12" spans="1:32" hidden="1" x14ac:dyDescent="0.25">
      <c r="A12" t="s">
        <v>33</v>
      </c>
      <c r="B12">
        <v>2013</v>
      </c>
      <c r="C12" s="1" t="s">
        <v>37</v>
      </c>
      <c r="D12" s="2">
        <f>DATE(CPI_Data[[#This Row],[Year]],MATCH(CPI_Data[[#This Row],[Month]],{"January","February","March","April","May","June","July","August","September","October","November","December"},0),1)</f>
        <v>41365</v>
      </c>
      <c r="E12">
        <v>114.6</v>
      </c>
      <c r="F12">
        <v>113.4</v>
      </c>
      <c r="G12">
        <v>106</v>
      </c>
      <c r="H12">
        <v>104.7</v>
      </c>
      <c r="I12">
        <v>102.1</v>
      </c>
      <c r="J12">
        <v>109.5</v>
      </c>
      <c r="K12">
        <v>109.7</v>
      </c>
      <c r="L12">
        <v>104.6</v>
      </c>
      <c r="M12">
        <v>102</v>
      </c>
      <c r="N12">
        <v>103.5</v>
      </c>
      <c r="O12">
        <v>108.2</v>
      </c>
      <c r="P12">
        <v>110.6</v>
      </c>
      <c r="Q12">
        <v>108.8</v>
      </c>
      <c r="R12">
        <v>108.5</v>
      </c>
      <c r="S12">
        <v>107.9</v>
      </c>
      <c r="T12">
        <v>106.4</v>
      </c>
      <c r="U12">
        <v>107.7</v>
      </c>
      <c r="V12">
        <v>100.5</v>
      </c>
      <c r="W12">
        <v>106.4</v>
      </c>
      <c r="X12">
        <v>106.5</v>
      </c>
      <c r="Y12">
        <v>105.7</v>
      </c>
      <c r="Z12">
        <v>105</v>
      </c>
      <c r="AA12">
        <v>104</v>
      </c>
      <c r="AB12">
        <v>105.2</v>
      </c>
      <c r="AC12">
        <v>103.2</v>
      </c>
      <c r="AD12">
        <v>105.1</v>
      </c>
      <c r="AE12">
        <v>105.7</v>
      </c>
      <c r="AF12" t="str">
        <f>IF(AND(CPI_Data[[#This Row],[Date]]&gt;=DATE(2019,3,1),CPI_Data[[#This Row],[Date]]&lt;DATE(2020,3,1)),"Pre-COVID",IF(AND(CPI_Data[[#This Row],[Date]]&gt;=DATE(2020,3,1),CPI_Data[[#This Row],[Date]]&lt;DATE(2021,3,1)),"Post-COVID",""))</f>
        <v/>
      </c>
    </row>
    <row r="13" spans="1:32" hidden="1" x14ac:dyDescent="0.25">
      <c r="A13" t="s">
        <v>34</v>
      </c>
      <c r="B13">
        <v>2013</v>
      </c>
      <c r="C13" s="1" t="s">
        <v>37</v>
      </c>
      <c r="D13" s="2">
        <f>DATE(CPI_Data[[#This Row],[Year]],MATCH(CPI_Data[[#This Row],[Month]],{"January","February","March","April","May","June","July","August","September","October","November","December"},0),1)</f>
        <v>41365</v>
      </c>
      <c r="E13">
        <v>111.6</v>
      </c>
      <c r="F13">
        <v>110.9</v>
      </c>
      <c r="G13">
        <v>106.6</v>
      </c>
      <c r="H13">
        <v>105.7</v>
      </c>
      <c r="I13">
        <v>104.4</v>
      </c>
      <c r="J13">
        <v>108.9</v>
      </c>
      <c r="K13">
        <v>105.5</v>
      </c>
      <c r="L13">
        <v>105.3</v>
      </c>
      <c r="M13">
        <v>103.5</v>
      </c>
      <c r="N13">
        <v>103.3</v>
      </c>
      <c r="O13">
        <v>107.2</v>
      </c>
      <c r="P13">
        <v>109.6</v>
      </c>
      <c r="Q13">
        <v>107.7</v>
      </c>
      <c r="R13">
        <v>107.5</v>
      </c>
      <c r="S13">
        <v>108</v>
      </c>
      <c r="T13">
        <v>107</v>
      </c>
      <c r="U13">
        <v>107.9</v>
      </c>
      <c r="V13">
        <v>100.5</v>
      </c>
      <c r="W13">
        <v>106.5</v>
      </c>
      <c r="X13">
        <v>106.3</v>
      </c>
      <c r="Y13">
        <v>105.3</v>
      </c>
      <c r="Z13">
        <v>104.7</v>
      </c>
      <c r="AA13">
        <v>104.2</v>
      </c>
      <c r="AB13">
        <v>105</v>
      </c>
      <c r="AC13">
        <v>102.9</v>
      </c>
      <c r="AD13">
        <v>104.8</v>
      </c>
      <c r="AE13">
        <v>106.1</v>
      </c>
      <c r="AF13" t="str">
        <f>IF(AND(CPI_Data[[#This Row],[Date]]&gt;=DATE(2019,3,1),CPI_Data[[#This Row],[Date]]&lt;DATE(2020,3,1)),"Pre-COVID",IF(AND(CPI_Data[[#This Row],[Date]]&gt;=DATE(2020,3,1),CPI_Data[[#This Row],[Date]]&lt;DATE(2021,3,1)),"Post-COVID",""))</f>
        <v/>
      </c>
    </row>
    <row r="14" spans="1:32" hidden="1" x14ac:dyDescent="0.25">
      <c r="A14" t="s">
        <v>30</v>
      </c>
      <c r="B14">
        <v>2013</v>
      </c>
      <c r="C14" s="1" t="s">
        <v>38</v>
      </c>
      <c r="D14" s="2">
        <f>DATE(CPI_Data[[#This Row],[Year]],MATCH(CPI_Data[[#This Row],[Month]],{"January","February","March","April","May","June","July","August","September","October","November","December"},0),1)</f>
        <v>41395</v>
      </c>
      <c r="E14">
        <v>110.9</v>
      </c>
      <c r="F14">
        <v>109.8</v>
      </c>
      <c r="G14">
        <v>105.9</v>
      </c>
      <c r="H14">
        <v>107.5</v>
      </c>
      <c r="I14">
        <v>105.3</v>
      </c>
      <c r="J14">
        <v>108.1</v>
      </c>
      <c r="K14">
        <v>107.3</v>
      </c>
      <c r="L14">
        <v>106.1</v>
      </c>
      <c r="M14">
        <v>103.7</v>
      </c>
      <c r="N14">
        <v>104</v>
      </c>
      <c r="O14">
        <v>107.4</v>
      </c>
      <c r="P14">
        <v>109.9</v>
      </c>
      <c r="Q14">
        <v>108.1</v>
      </c>
      <c r="R14">
        <v>108.1</v>
      </c>
      <c r="S14">
        <v>108.8</v>
      </c>
      <c r="T14">
        <v>107.9</v>
      </c>
      <c r="U14">
        <v>108.6</v>
      </c>
      <c r="V14" t="s">
        <v>32</v>
      </c>
      <c r="W14">
        <v>107.5</v>
      </c>
      <c r="X14">
        <v>106.8</v>
      </c>
      <c r="Y14">
        <v>105.7</v>
      </c>
      <c r="Z14">
        <v>104.1</v>
      </c>
      <c r="AA14">
        <v>105</v>
      </c>
      <c r="AB14">
        <v>105.5</v>
      </c>
      <c r="AC14">
        <v>102.1</v>
      </c>
      <c r="AD14">
        <v>104.8</v>
      </c>
      <c r="AE14">
        <v>107.2</v>
      </c>
      <c r="AF14" t="str">
        <f>IF(AND(CPI_Data[[#This Row],[Date]]&gt;=DATE(2019,3,1),CPI_Data[[#This Row],[Date]]&lt;DATE(2020,3,1)),"Pre-COVID",IF(AND(CPI_Data[[#This Row],[Date]]&gt;=DATE(2020,3,1),CPI_Data[[#This Row],[Date]]&lt;DATE(2021,3,1)),"Post-COVID",""))</f>
        <v/>
      </c>
    </row>
    <row r="15" spans="1:32" hidden="1" x14ac:dyDescent="0.25">
      <c r="A15" t="s">
        <v>33</v>
      </c>
      <c r="B15">
        <v>2013</v>
      </c>
      <c r="C15" s="1" t="s">
        <v>38</v>
      </c>
      <c r="D15" s="2">
        <f>DATE(CPI_Data[[#This Row],[Year]],MATCH(CPI_Data[[#This Row],[Month]],{"January","February","March","April","May","June","July","August","September","October","November","December"},0),1)</f>
        <v>41395</v>
      </c>
      <c r="E15">
        <v>115.4</v>
      </c>
      <c r="F15">
        <v>114.2</v>
      </c>
      <c r="G15">
        <v>102.7</v>
      </c>
      <c r="H15">
        <v>105.5</v>
      </c>
      <c r="I15">
        <v>101.5</v>
      </c>
      <c r="J15">
        <v>110.6</v>
      </c>
      <c r="K15">
        <v>123.7</v>
      </c>
      <c r="L15">
        <v>105.2</v>
      </c>
      <c r="M15">
        <v>101.9</v>
      </c>
      <c r="N15">
        <v>105</v>
      </c>
      <c r="O15">
        <v>109.1</v>
      </c>
      <c r="P15">
        <v>111.3</v>
      </c>
      <c r="Q15">
        <v>111.1</v>
      </c>
      <c r="R15">
        <v>109.8</v>
      </c>
      <c r="S15">
        <v>108.5</v>
      </c>
      <c r="T15">
        <v>106.7</v>
      </c>
      <c r="U15">
        <v>108.3</v>
      </c>
      <c r="V15">
        <v>100.5</v>
      </c>
      <c r="W15">
        <v>107.2</v>
      </c>
      <c r="X15">
        <v>107.1</v>
      </c>
      <c r="Y15">
        <v>106.2</v>
      </c>
      <c r="Z15">
        <v>103.9</v>
      </c>
      <c r="AA15">
        <v>104.6</v>
      </c>
      <c r="AB15">
        <v>105.7</v>
      </c>
      <c r="AC15">
        <v>102.6</v>
      </c>
      <c r="AD15">
        <v>104.9</v>
      </c>
      <c r="AE15">
        <v>106.6</v>
      </c>
      <c r="AF15" t="str">
        <f>IF(AND(CPI_Data[[#This Row],[Date]]&gt;=DATE(2019,3,1),CPI_Data[[#This Row],[Date]]&lt;DATE(2020,3,1)),"Pre-COVID",IF(AND(CPI_Data[[#This Row],[Date]]&gt;=DATE(2020,3,1),CPI_Data[[#This Row],[Date]]&lt;DATE(2021,3,1)),"Post-COVID",""))</f>
        <v/>
      </c>
    </row>
    <row r="16" spans="1:32" hidden="1" x14ac:dyDescent="0.25">
      <c r="A16" t="s">
        <v>34</v>
      </c>
      <c r="B16">
        <v>2013</v>
      </c>
      <c r="C16" s="1" t="s">
        <v>38</v>
      </c>
      <c r="D16" s="2">
        <f>DATE(CPI_Data[[#This Row],[Year]],MATCH(CPI_Data[[#This Row],[Month]],{"January","February","March","April","May","June","July","August","September","October","November","December"},0),1)</f>
        <v>41395</v>
      </c>
      <c r="E16">
        <v>112.3</v>
      </c>
      <c r="F16">
        <v>111.3</v>
      </c>
      <c r="G16">
        <v>104.7</v>
      </c>
      <c r="H16">
        <v>106.8</v>
      </c>
      <c r="I16">
        <v>103.9</v>
      </c>
      <c r="J16">
        <v>109.3</v>
      </c>
      <c r="K16">
        <v>112.9</v>
      </c>
      <c r="L16">
        <v>105.8</v>
      </c>
      <c r="M16">
        <v>103.1</v>
      </c>
      <c r="N16">
        <v>104.3</v>
      </c>
      <c r="O16">
        <v>108.1</v>
      </c>
      <c r="P16">
        <v>110.5</v>
      </c>
      <c r="Q16">
        <v>109.2</v>
      </c>
      <c r="R16">
        <v>108.6</v>
      </c>
      <c r="S16">
        <v>108.7</v>
      </c>
      <c r="T16">
        <v>107.4</v>
      </c>
      <c r="U16">
        <v>108.5</v>
      </c>
      <c r="V16">
        <v>100.5</v>
      </c>
      <c r="W16">
        <v>107.4</v>
      </c>
      <c r="X16">
        <v>106.9</v>
      </c>
      <c r="Y16">
        <v>105.9</v>
      </c>
      <c r="Z16">
        <v>104</v>
      </c>
      <c r="AA16">
        <v>104.8</v>
      </c>
      <c r="AB16">
        <v>105.6</v>
      </c>
      <c r="AC16">
        <v>102.3</v>
      </c>
      <c r="AD16">
        <v>104.8</v>
      </c>
      <c r="AE16">
        <v>106.9</v>
      </c>
      <c r="AF16" t="str">
        <f>IF(AND(CPI_Data[[#This Row],[Date]]&gt;=DATE(2019,3,1),CPI_Data[[#This Row],[Date]]&lt;DATE(2020,3,1)),"Pre-COVID",IF(AND(CPI_Data[[#This Row],[Date]]&gt;=DATE(2020,3,1),CPI_Data[[#This Row],[Date]]&lt;DATE(2021,3,1)),"Post-COVID",""))</f>
        <v/>
      </c>
    </row>
    <row r="17" spans="1:32" hidden="1" x14ac:dyDescent="0.25">
      <c r="A17" t="s">
        <v>30</v>
      </c>
      <c r="B17">
        <v>2013</v>
      </c>
      <c r="C17" s="1" t="s">
        <v>39</v>
      </c>
      <c r="D17" s="2">
        <f>DATE(CPI_Data[[#This Row],[Year]],MATCH(CPI_Data[[#This Row],[Month]],{"January","February","March","April","May","June","July","August","September","October","November","December"},0),1)</f>
        <v>41426</v>
      </c>
      <c r="E17">
        <v>112.3</v>
      </c>
      <c r="F17">
        <v>112.1</v>
      </c>
      <c r="G17">
        <v>108.1</v>
      </c>
      <c r="H17">
        <v>108.3</v>
      </c>
      <c r="I17">
        <v>105.9</v>
      </c>
      <c r="J17">
        <v>109.2</v>
      </c>
      <c r="K17">
        <v>118</v>
      </c>
      <c r="L17">
        <v>106.8</v>
      </c>
      <c r="M17">
        <v>104.1</v>
      </c>
      <c r="N17">
        <v>105.4</v>
      </c>
      <c r="O17">
        <v>108.2</v>
      </c>
      <c r="P17">
        <v>111</v>
      </c>
      <c r="Q17">
        <v>110.6</v>
      </c>
      <c r="R17">
        <v>109</v>
      </c>
      <c r="S17">
        <v>109.7</v>
      </c>
      <c r="T17">
        <v>108.8</v>
      </c>
      <c r="U17">
        <v>109.5</v>
      </c>
      <c r="V17" t="s">
        <v>32</v>
      </c>
      <c r="W17">
        <v>108.5</v>
      </c>
      <c r="X17">
        <v>107.5</v>
      </c>
      <c r="Y17">
        <v>106.3</v>
      </c>
      <c r="Z17">
        <v>105</v>
      </c>
      <c r="AA17">
        <v>105.6</v>
      </c>
      <c r="AB17">
        <v>106.5</v>
      </c>
      <c r="AC17">
        <v>102.5</v>
      </c>
      <c r="AD17">
        <v>105.5</v>
      </c>
      <c r="AE17">
        <v>108.9</v>
      </c>
      <c r="AF17" t="str">
        <f>IF(AND(CPI_Data[[#This Row],[Date]]&gt;=DATE(2019,3,1),CPI_Data[[#This Row],[Date]]&lt;DATE(2020,3,1)),"Pre-COVID",IF(AND(CPI_Data[[#This Row],[Date]]&gt;=DATE(2020,3,1),CPI_Data[[#This Row],[Date]]&lt;DATE(2021,3,1)),"Post-COVID",""))</f>
        <v/>
      </c>
    </row>
    <row r="18" spans="1:32" hidden="1" x14ac:dyDescent="0.25">
      <c r="A18" t="s">
        <v>33</v>
      </c>
      <c r="B18">
        <v>2013</v>
      </c>
      <c r="C18" s="1" t="s">
        <v>39</v>
      </c>
      <c r="D18" s="2">
        <f>DATE(CPI_Data[[#This Row],[Year]],MATCH(CPI_Data[[#This Row],[Month]],{"January","February","March","April","May","June","July","August","September","October","November","December"},0),1)</f>
        <v>41426</v>
      </c>
      <c r="E18">
        <v>117</v>
      </c>
      <c r="F18">
        <v>120.1</v>
      </c>
      <c r="G18">
        <v>112.5</v>
      </c>
      <c r="H18">
        <v>107.3</v>
      </c>
      <c r="I18">
        <v>101.3</v>
      </c>
      <c r="J18">
        <v>112.4</v>
      </c>
      <c r="K18">
        <v>143.6</v>
      </c>
      <c r="L18">
        <v>105.4</v>
      </c>
      <c r="M18">
        <v>101.4</v>
      </c>
      <c r="N18">
        <v>106.4</v>
      </c>
      <c r="O18">
        <v>110</v>
      </c>
      <c r="P18">
        <v>112.2</v>
      </c>
      <c r="Q18">
        <v>115</v>
      </c>
      <c r="R18">
        <v>110.9</v>
      </c>
      <c r="S18">
        <v>109.2</v>
      </c>
      <c r="T18">
        <v>107.2</v>
      </c>
      <c r="U18">
        <v>108.9</v>
      </c>
      <c r="V18">
        <v>106.6</v>
      </c>
      <c r="W18">
        <v>108</v>
      </c>
      <c r="X18">
        <v>107.7</v>
      </c>
      <c r="Y18">
        <v>106.5</v>
      </c>
      <c r="Z18">
        <v>105.2</v>
      </c>
      <c r="AA18">
        <v>105.2</v>
      </c>
      <c r="AB18">
        <v>108.1</v>
      </c>
      <c r="AC18">
        <v>103.3</v>
      </c>
      <c r="AD18">
        <v>106.1</v>
      </c>
      <c r="AE18">
        <v>109.7</v>
      </c>
      <c r="AF18" t="str">
        <f>IF(AND(CPI_Data[[#This Row],[Date]]&gt;=DATE(2019,3,1),CPI_Data[[#This Row],[Date]]&lt;DATE(2020,3,1)),"Pre-COVID",IF(AND(CPI_Data[[#This Row],[Date]]&gt;=DATE(2020,3,1),CPI_Data[[#This Row],[Date]]&lt;DATE(2021,3,1)),"Post-COVID",""))</f>
        <v/>
      </c>
    </row>
    <row r="19" spans="1:32" hidden="1" x14ac:dyDescent="0.25">
      <c r="A19" t="s">
        <v>34</v>
      </c>
      <c r="B19">
        <v>2013</v>
      </c>
      <c r="C19" s="1" t="s">
        <v>39</v>
      </c>
      <c r="D19" s="2">
        <f>DATE(CPI_Data[[#This Row],[Year]],MATCH(CPI_Data[[#This Row],[Month]],{"January","February","March","April","May","June","July","August","September","October","November","December"},0),1)</f>
        <v>41426</v>
      </c>
      <c r="E19">
        <v>113.8</v>
      </c>
      <c r="F19">
        <v>114.9</v>
      </c>
      <c r="G19">
        <v>109.8</v>
      </c>
      <c r="H19">
        <v>107.9</v>
      </c>
      <c r="I19">
        <v>104.2</v>
      </c>
      <c r="J19">
        <v>110.7</v>
      </c>
      <c r="K19">
        <v>126.7</v>
      </c>
      <c r="L19">
        <v>106.3</v>
      </c>
      <c r="M19">
        <v>103.2</v>
      </c>
      <c r="N19">
        <v>105.7</v>
      </c>
      <c r="O19">
        <v>109</v>
      </c>
      <c r="P19">
        <v>111.6</v>
      </c>
      <c r="Q19">
        <v>112.2</v>
      </c>
      <c r="R19">
        <v>109.5</v>
      </c>
      <c r="S19">
        <v>109.5</v>
      </c>
      <c r="T19">
        <v>108.1</v>
      </c>
      <c r="U19">
        <v>109.3</v>
      </c>
      <c r="V19">
        <v>106.6</v>
      </c>
      <c r="W19">
        <v>108.3</v>
      </c>
      <c r="X19">
        <v>107.6</v>
      </c>
      <c r="Y19">
        <v>106.4</v>
      </c>
      <c r="Z19">
        <v>105.1</v>
      </c>
      <c r="AA19">
        <v>105.4</v>
      </c>
      <c r="AB19">
        <v>107.4</v>
      </c>
      <c r="AC19">
        <v>102.8</v>
      </c>
      <c r="AD19">
        <v>105.8</v>
      </c>
      <c r="AE19">
        <v>109.3</v>
      </c>
      <c r="AF19" t="str">
        <f>IF(AND(CPI_Data[[#This Row],[Date]]&gt;=DATE(2019,3,1),CPI_Data[[#This Row],[Date]]&lt;DATE(2020,3,1)),"Pre-COVID",IF(AND(CPI_Data[[#This Row],[Date]]&gt;=DATE(2020,3,1),CPI_Data[[#This Row],[Date]]&lt;DATE(2021,3,1)),"Post-COVID",""))</f>
        <v/>
      </c>
    </row>
    <row r="20" spans="1:32" hidden="1" x14ac:dyDescent="0.25">
      <c r="A20" t="s">
        <v>30</v>
      </c>
      <c r="B20">
        <v>2013</v>
      </c>
      <c r="C20" s="1" t="s">
        <v>40</v>
      </c>
      <c r="D20" s="2">
        <f>DATE(CPI_Data[[#This Row],[Year]],MATCH(CPI_Data[[#This Row],[Month]],{"January","February","March","April","May","June","July","August","September","October","November","December"},0),1)</f>
        <v>41456</v>
      </c>
      <c r="E20">
        <v>113.4</v>
      </c>
      <c r="F20">
        <v>114.9</v>
      </c>
      <c r="G20">
        <v>110.5</v>
      </c>
      <c r="H20">
        <v>109.3</v>
      </c>
      <c r="I20">
        <v>106.2</v>
      </c>
      <c r="J20">
        <v>110.3</v>
      </c>
      <c r="K20">
        <v>129.19999999999999</v>
      </c>
      <c r="L20">
        <v>107.1</v>
      </c>
      <c r="M20">
        <v>104.3</v>
      </c>
      <c r="N20">
        <v>106.4</v>
      </c>
      <c r="O20">
        <v>109.1</v>
      </c>
      <c r="P20">
        <v>112.1</v>
      </c>
      <c r="Q20">
        <v>113.1</v>
      </c>
      <c r="R20">
        <v>109.8</v>
      </c>
      <c r="S20">
        <v>110.5</v>
      </c>
      <c r="T20">
        <v>109.5</v>
      </c>
      <c r="U20">
        <v>110.3</v>
      </c>
      <c r="V20" t="s">
        <v>32</v>
      </c>
      <c r="W20">
        <v>109.5</v>
      </c>
      <c r="X20">
        <v>108.3</v>
      </c>
      <c r="Y20">
        <v>106.9</v>
      </c>
      <c r="Z20">
        <v>106.8</v>
      </c>
      <c r="AA20">
        <v>106.4</v>
      </c>
      <c r="AB20">
        <v>107.8</v>
      </c>
      <c r="AC20">
        <v>102.5</v>
      </c>
      <c r="AD20">
        <v>106.5</v>
      </c>
      <c r="AE20">
        <v>110.7</v>
      </c>
      <c r="AF20" t="str">
        <f>IF(AND(CPI_Data[[#This Row],[Date]]&gt;=DATE(2019,3,1),CPI_Data[[#This Row],[Date]]&lt;DATE(2020,3,1)),"Pre-COVID",IF(AND(CPI_Data[[#This Row],[Date]]&gt;=DATE(2020,3,1),CPI_Data[[#This Row],[Date]]&lt;DATE(2021,3,1)),"Post-COVID",""))</f>
        <v/>
      </c>
    </row>
    <row r="21" spans="1:32" hidden="1" x14ac:dyDescent="0.25">
      <c r="A21" t="s">
        <v>33</v>
      </c>
      <c r="B21">
        <v>2013</v>
      </c>
      <c r="C21" s="1" t="s">
        <v>40</v>
      </c>
      <c r="D21" s="2">
        <f>DATE(CPI_Data[[#This Row],[Year]],MATCH(CPI_Data[[#This Row],[Month]],{"January","February","March","April","May","June","July","August","September","October","November","December"},0),1)</f>
        <v>41456</v>
      </c>
      <c r="E21">
        <v>117.8</v>
      </c>
      <c r="F21">
        <v>119.2</v>
      </c>
      <c r="G21">
        <v>114</v>
      </c>
      <c r="H21">
        <v>108.3</v>
      </c>
      <c r="I21">
        <v>101.1</v>
      </c>
      <c r="J21">
        <v>113.2</v>
      </c>
      <c r="K21">
        <v>160.9</v>
      </c>
      <c r="L21">
        <v>105.1</v>
      </c>
      <c r="M21">
        <v>101.3</v>
      </c>
      <c r="N21">
        <v>107.5</v>
      </c>
      <c r="O21">
        <v>110.4</v>
      </c>
      <c r="P21">
        <v>113.1</v>
      </c>
      <c r="Q21">
        <v>117.5</v>
      </c>
      <c r="R21">
        <v>111.7</v>
      </c>
      <c r="S21">
        <v>109.8</v>
      </c>
      <c r="T21">
        <v>107.8</v>
      </c>
      <c r="U21">
        <v>109.5</v>
      </c>
      <c r="V21">
        <v>107.7</v>
      </c>
      <c r="W21">
        <v>108.6</v>
      </c>
      <c r="X21">
        <v>108.1</v>
      </c>
      <c r="Y21">
        <v>107.1</v>
      </c>
      <c r="Z21">
        <v>107.3</v>
      </c>
      <c r="AA21">
        <v>105.9</v>
      </c>
      <c r="AB21">
        <v>110.1</v>
      </c>
      <c r="AC21">
        <v>103.2</v>
      </c>
      <c r="AD21">
        <v>107.3</v>
      </c>
      <c r="AE21">
        <v>111.4</v>
      </c>
      <c r="AF21" t="str">
        <f>IF(AND(CPI_Data[[#This Row],[Date]]&gt;=DATE(2019,3,1),CPI_Data[[#This Row],[Date]]&lt;DATE(2020,3,1)),"Pre-COVID",IF(AND(CPI_Data[[#This Row],[Date]]&gt;=DATE(2020,3,1),CPI_Data[[#This Row],[Date]]&lt;DATE(2021,3,1)),"Post-COVID",""))</f>
        <v/>
      </c>
    </row>
    <row r="22" spans="1:32" hidden="1" x14ac:dyDescent="0.25">
      <c r="A22" t="s">
        <v>34</v>
      </c>
      <c r="B22">
        <v>2013</v>
      </c>
      <c r="C22" s="1" t="s">
        <v>40</v>
      </c>
      <c r="D22" s="2">
        <f>DATE(CPI_Data[[#This Row],[Year]],MATCH(CPI_Data[[#This Row],[Month]],{"January","February","March","April","May","June","July","August","September","October","November","December"},0),1)</f>
        <v>41456</v>
      </c>
      <c r="E22">
        <v>114.8</v>
      </c>
      <c r="F22">
        <v>116.4</v>
      </c>
      <c r="G22">
        <v>111.9</v>
      </c>
      <c r="H22">
        <v>108.9</v>
      </c>
      <c r="I22">
        <v>104.3</v>
      </c>
      <c r="J22">
        <v>111.7</v>
      </c>
      <c r="K22">
        <v>140</v>
      </c>
      <c r="L22">
        <v>106.4</v>
      </c>
      <c r="M22">
        <v>103.3</v>
      </c>
      <c r="N22">
        <v>106.8</v>
      </c>
      <c r="O22">
        <v>109.6</v>
      </c>
      <c r="P22">
        <v>112.6</v>
      </c>
      <c r="Q22">
        <v>114.7</v>
      </c>
      <c r="R22">
        <v>110.3</v>
      </c>
      <c r="S22">
        <v>110.2</v>
      </c>
      <c r="T22">
        <v>108.8</v>
      </c>
      <c r="U22">
        <v>110</v>
      </c>
      <c r="V22">
        <v>107.7</v>
      </c>
      <c r="W22">
        <v>109.2</v>
      </c>
      <c r="X22">
        <v>108.2</v>
      </c>
      <c r="Y22">
        <v>107</v>
      </c>
      <c r="Z22">
        <v>107.1</v>
      </c>
      <c r="AA22">
        <v>106.1</v>
      </c>
      <c r="AB22">
        <v>109.1</v>
      </c>
      <c r="AC22">
        <v>102.8</v>
      </c>
      <c r="AD22">
        <v>106.9</v>
      </c>
      <c r="AE22">
        <v>111</v>
      </c>
      <c r="AF22" t="str">
        <f>IF(AND(CPI_Data[[#This Row],[Date]]&gt;=DATE(2019,3,1),CPI_Data[[#This Row],[Date]]&lt;DATE(2020,3,1)),"Pre-COVID",IF(AND(CPI_Data[[#This Row],[Date]]&gt;=DATE(2020,3,1),CPI_Data[[#This Row],[Date]]&lt;DATE(2021,3,1)),"Post-COVID",""))</f>
        <v/>
      </c>
    </row>
    <row r="23" spans="1:32" hidden="1" x14ac:dyDescent="0.25">
      <c r="A23" t="s">
        <v>30</v>
      </c>
      <c r="B23">
        <v>2013</v>
      </c>
      <c r="C23" s="1" t="s">
        <v>41</v>
      </c>
      <c r="D23" s="2">
        <f>DATE(CPI_Data[[#This Row],[Year]],MATCH(CPI_Data[[#This Row],[Month]],{"January","February","March","April","May","June","July","August","September","October","November","December"},0),1)</f>
        <v>41487</v>
      </c>
      <c r="E23">
        <v>114.3</v>
      </c>
      <c r="F23">
        <v>115.4</v>
      </c>
      <c r="G23">
        <v>111.1</v>
      </c>
      <c r="H23">
        <v>110</v>
      </c>
      <c r="I23">
        <v>106.4</v>
      </c>
      <c r="J23">
        <v>110.8</v>
      </c>
      <c r="K23">
        <v>138.9</v>
      </c>
      <c r="L23">
        <v>107.4</v>
      </c>
      <c r="M23">
        <v>104.1</v>
      </c>
      <c r="N23">
        <v>106.9</v>
      </c>
      <c r="O23">
        <v>109.7</v>
      </c>
      <c r="P23">
        <v>112.6</v>
      </c>
      <c r="Q23">
        <v>114.9</v>
      </c>
      <c r="R23">
        <v>110.7</v>
      </c>
      <c r="S23">
        <v>111.3</v>
      </c>
      <c r="T23">
        <v>110.2</v>
      </c>
      <c r="U23">
        <v>111.1</v>
      </c>
      <c r="V23" t="s">
        <v>32</v>
      </c>
      <c r="W23">
        <v>109.9</v>
      </c>
      <c r="X23">
        <v>108.7</v>
      </c>
      <c r="Y23">
        <v>107.5</v>
      </c>
      <c r="Z23">
        <v>107.8</v>
      </c>
      <c r="AA23">
        <v>106.8</v>
      </c>
      <c r="AB23">
        <v>108.7</v>
      </c>
      <c r="AC23">
        <v>105</v>
      </c>
      <c r="AD23">
        <v>107.5</v>
      </c>
      <c r="AE23">
        <v>112.1</v>
      </c>
      <c r="AF23" t="str">
        <f>IF(AND(CPI_Data[[#This Row],[Date]]&gt;=DATE(2019,3,1),CPI_Data[[#This Row],[Date]]&lt;DATE(2020,3,1)),"Pre-COVID",IF(AND(CPI_Data[[#This Row],[Date]]&gt;=DATE(2020,3,1),CPI_Data[[#This Row],[Date]]&lt;DATE(2021,3,1)),"Post-COVID",""))</f>
        <v/>
      </c>
    </row>
    <row r="24" spans="1:32" hidden="1" x14ac:dyDescent="0.25">
      <c r="A24" t="s">
        <v>33</v>
      </c>
      <c r="B24">
        <v>2013</v>
      </c>
      <c r="C24" s="1" t="s">
        <v>41</v>
      </c>
      <c r="D24" s="2">
        <f>DATE(CPI_Data[[#This Row],[Year]],MATCH(CPI_Data[[#This Row],[Month]],{"January","February","March","April","May","June","July","August","September","October","November","December"},0),1)</f>
        <v>41487</v>
      </c>
      <c r="E24">
        <v>118.3</v>
      </c>
      <c r="F24">
        <v>120.4</v>
      </c>
      <c r="G24">
        <v>112.7</v>
      </c>
      <c r="H24">
        <v>108.9</v>
      </c>
      <c r="I24">
        <v>101.1</v>
      </c>
      <c r="J24">
        <v>108.7</v>
      </c>
      <c r="K24">
        <v>177</v>
      </c>
      <c r="L24">
        <v>104.7</v>
      </c>
      <c r="M24">
        <v>101</v>
      </c>
      <c r="N24">
        <v>108.5</v>
      </c>
      <c r="O24">
        <v>110.9</v>
      </c>
      <c r="P24">
        <v>114.3</v>
      </c>
      <c r="Q24">
        <v>119.6</v>
      </c>
      <c r="R24">
        <v>112.4</v>
      </c>
      <c r="S24">
        <v>110.6</v>
      </c>
      <c r="T24">
        <v>108.3</v>
      </c>
      <c r="U24">
        <v>110.2</v>
      </c>
      <c r="V24">
        <v>108.9</v>
      </c>
      <c r="W24">
        <v>109.3</v>
      </c>
      <c r="X24">
        <v>108.7</v>
      </c>
      <c r="Y24">
        <v>107.6</v>
      </c>
      <c r="Z24">
        <v>108.1</v>
      </c>
      <c r="AA24">
        <v>106.5</v>
      </c>
      <c r="AB24">
        <v>110.8</v>
      </c>
      <c r="AC24">
        <v>106</v>
      </c>
      <c r="AD24">
        <v>108.3</v>
      </c>
      <c r="AE24">
        <v>112.7</v>
      </c>
      <c r="AF24" t="str">
        <f>IF(AND(CPI_Data[[#This Row],[Date]]&gt;=DATE(2019,3,1),CPI_Data[[#This Row],[Date]]&lt;DATE(2020,3,1)),"Pre-COVID",IF(AND(CPI_Data[[#This Row],[Date]]&gt;=DATE(2020,3,1),CPI_Data[[#This Row],[Date]]&lt;DATE(2021,3,1)),"Post-COVID",""))</f>
        <v/>
      </c>
    </row>
    <row r="25" spans="1:32" hidden="1" x14ac:dyDescent="0.25">
      <c r="A25" t="s">
        <v>34</v>
      </c>
      <c r="B25">
        <v>2013</v>
      </c>
      <c r="C25" s="1" t="s">
        <v>41</v>
      </c>
      <c r="D25" s="2">
        <f>DATE(CPI_Data[[#This Row],[Year]],MATCH(CPI_Data[[#This Row],[Month]],{"January","February","March","April","May","June","July","August","September","October","November","December"},0),1)</f>
        <v>41487</v>
      </c>
      <c r="E25">
        <v>115.6</v>
      </c>
      <c r="F25">
        <v>117.2</v>
      </c>
      <c r="G25">
        <v>111.7</v>
      </c>
      <c r="H25">
        <v>109.6</v>
      </c>
      <c r="I25">
        <v>104.5</v>
      </c>
      <c r="J25">
        <v>109.8</v>
      </c>
      <c r="K25">
        <v>151.80000000000001</v>
      </c>
      <c r="L25">
        <v>106.5</v>
      </c>
      <c r="M25">
        <v>103.1</v>
      </c>
      <c r="N25">
        <v>107.4</v>
      </c>
      <c r="O25">
        <v>110.2</v>
      </c>
      <c r="P25">
        <v>113.4</v>
      </c>
      <c r="Q25">
        <v>116.6</v>
      </c>
      <c r="R25">
        <v>111.2</v>
      </c>
      <c r="S25">
        <v>111</v>
      </c>
      <c r="T25">
        <v>109.4</v>
      </c>
      <c r="U25">
        <v>110.7</v>
      </c>
      <c r="V25">
        <v>108.9</v>
      </c>
      <c r="W25">
        <v>109.7</v>
      </c>
      <c r="X25">
        <v>108.7</v>
      </c>
      <c r="Y25">
        <v>107.5</v>
      </c>
      <c r="Z25">
        <v>108</v>
      </c>
      <c r="AA25">
        <v>106.6</v>
      </c>
      <c r="AB25">
        <v>109.9</v>
      </c>
      <c r="AC25">
        <v>105.4</v>
      </c>
      <c r="AD25">
        <v>107.9</v>
      </c>
      <c r="AE25">
        <v>112.4</v>
      </c>
      <c r="AF25" t="str">
        <f>IF(AND(CPI_Data[[#This Row],[Date]]&gt;=DATE(2019,3,1),CPI_Data[[#This Row],[Date]]&lt;DATE(2020,3,1)),"Pre-COVID",IF(AND(CPI_Data[[#This Row],[Date]]&gt;=DATE(2020,3,1),CPI_Data[[#This Row],[Date]]&lt;DATE(2021,3,1)),"Post-COVID",""))</f>
        <v/>
      </c>
    </row>
    <row r="26" spans="1:32" hidden="1" x14ac:dyDescent="0.25">
      <c r="A26" t="s">
        <v>30</v>
      </c>
      <c r="B26">
        <v>2013</v>
      </c>
      <c r="C26" s="1" t="s">
        <v>42</v>
      </c>
      <c r="D26" s="2">
        <f>DATE(CPI_Data[[#This Row],[Year]],MATCH(CPI_Data[[#This Row],[Month]],{"January","February","March","April","May","June","July","August","September","October","November","December"},0),1)</f>
        <v>41518</v>
      </c>
      <c r="E26">
        <v>115.4</v>
      </c>
      <c r="F26">
        <v>115.7</v>
      </c>
      <c r="G26">
        <v>111.7</v>
      </c>
      <c r="H26">
        <v>111</v>
      </c>
      <c r="I26">
        <v>107.4</v>
      </c>
      <c r="J26">
        <v>110.9</v>
      </c>
      <c r="K26">
        <v>154</v>
      </c>
      <c r="L26">
        <v>108.1</v>
      </c>
      <c r="M26">
        <v>104.2</v>
      </c>
      <c r="N26">
        <v>107.9</v>
      </c>
      <c r="O26">
        <v>110.4</v>
      </c>
      <c r="P26">
        <v>114</v>
      </c>
      <c r="Q26">
        <v>117.8</v>
      </c>
      <c r="R26">
        <v>111.7</v>
      </c>
      <c r="S26">
        <v>112.7</v>
      </c>
      <c r="T26">
        <v>111.4</v>
      </c>
      <c r="U26">
        <v>112.5</v>
      </c>
      <c r="V26" t="s">
        <v>32</v>
      </c>
      <c r="W26">
        <v>111.1</v>
      </c>
      <c r="X26">
        <v>109.6</v>
      </c>
      <c r="Y26">
        <v>108.3</v>
      </c>
      <c r="Z26">
        <v>109.3</v>
      </c>
      <c r="AA26">
        <v>107.7</v>
      </c>
      <c r="AB26">
        <v>109.8</v>
      </c>
      <c r="AC26">
        <v>106.7</v>
      </c>
      <c r="AD26">
        <v>108.7</v>
      </c>
      <c r="AE26">
        <v>114.2</v>
      </c>
      <c r="AF26" t="str">
        <f>IF(AND(CPI_Data[[#This Row],[Date]]&gt;=DATE(2019,3,1),CPI_Data[[#This Row],[Date]]&lt;DATE(2020,3,1)),"Pre-COVID",IF(AND(CPI_Data[[#This Row],[Date]]&gt;=DATE(2020,3,1),CPI_Data[[#This Row],[Date]]&lt;DATE(2021,3,1)),"Post-COVID",""))</f>
        <v/>
      </c>
    </row>
    <row r="27" spans="1:32" hidden="1" x14ac:dyDescent="0.25">
      <c r="A27" t="s">
        <v>33</v>
      </c>
      <c r="B27">
        <v>2013</v>
      </c>
      <c r="C27" s="1" t="s">
        <v>42</v>
      </c>
      <c r="D27" s="2">
        <f>DATE(CPI_Data[[#This Row],[Year]],MATCH(CPI_Data[[#This Row],[Month]],{"January","February","March","April","May","June","July","August","September","October","November","December"},0),1)</f>
        <v>41518</v>
      </c>
      <c r="E27">
        <v>118.6</v>
      </c>
      <c r="F27">
        <v>119.1</v>
      </c>
      <c r="G27">
        <v>113.2</v>
      </c>
      <c r="H27">
        <v>109.6</v>
      </c>
      <c r="I27">
        <v>101.7</v>
      </c>
      <c r="J27">
        <v>103.2</v>
      </c>
      <c r="K27">
        <v>174.3</v>
      </c>
      <c r="L27">
        <v>105.1</v>
      </c>
      <c r="M27">
        <v>100.8</v>
      </c>
      <c r="N27">
        <v>109.1</v>
      </c>
      <c r="O27">
        <v>111.1</v>
      </c>
      <c r="P27">
        <v>115.4</v>
      </c>
      <c r="Q27">
        <v>119.2</v>
      </c>
      <c r="R27">
        <v>112.9</v>
      </c>
      <c r="S27">
        <v>111.4</v>
      </c>
      <c r="T27">
        <v>109</v>
      </c>
      <c r="U27">
        <v>111.1</v>
      </c>
      <c r="V27">
        <v>109.7</v>
      </c>
      <c r="W27">
        <v>109.5</v>
      </c>
      <c r="X27">
        <v>109.6</v>
      </c>
      <c r="Y27">
        <v>107.9</v>
      </c>
      <c r="Z27">
        <v>110.4</v>
      </c>
      <c r="AA27">
        <v>107.4</v>
      </c>
      <c r="AB27">
        <v>111.2</v>
      </c>
      <c r="AC27">
        <v>106.9</v>
      </c>
      <c r="AD27">
        <v>109.4</v>
      </c>
      <c r="AE27">
        <v>113.2</v>
      </c>
      <c r="AF27" t="str">
        <f>IF(AND(CPI_Data[[#This Row],[Date]]&gt;=DATE(2019,3,1),CPI_Data[[#This Row],[Date]]&lt;DATE(2020,3,1)),"Pre-COVID",IF(AND(CPI_Data[[#This Row],[Date]]&gt;=DATE(2020,3,1),CPI_Data[[#This Row],[Date]]&lt;DATE(2021,3,1)),"Post-COVID",""))</f>
        <v/>
      </c>
    </row>
    <row r="28" spans="1:32" hidden="1" x14ac:dyDescent="0.25">
      <c r="A28" t="s">
        <v>34</v>
      </c>
      <c r="B28">
        <v>2013</v>
      </c>
      <c r="C28" s="1" t="s">
        <v>42</v>
      </c>
      <c r="D28" s="2">
        <f>DATE(CPI_Data[[#This Row],[Year]],MATCH(CPI_Data[[#This Row],[Month]],{"January","February","March","April","May","June","July","August","September","October","November","December"},0),1)</f>
        <v>41518</v>
      </c>
      <c r="E28">
        <v>116.4</v>
      </c>
      <c r="F28">
        <v>116.9</v>
      </c>
      <c r="G28">
        <v>112.3</v>
      </c>
      <c r="H28">
        <v>110.5</v>
      </c>
      <c r="I28">
        <v>105.3</v>
      </c>
      <c r="J28">
        <v>107.3</v>
      </c>
      <c r="K28">
        <v>160.9</v>
      </c>
      <c r="L28">
        <v>107.1</v>
      </c>
      <c r="M28">
        <v>103.1</v>
      </c>
      <c r="N28">
        <v>108.3</v>
      </c>
      <c r="O28">
        <v>110.7</v>
      </c>
      <c r="P28">
        <v>114.6</v>
      </c>
      <c r="Q28">
        <v>118.3</v>
      </c>
      <c r="R28">
        <v>112</v>
      </c>
      <c r="S28">
        <v>112.2</v>
      </c>
      <c r="T28">
        <v>110.4</v>
      </c>
      <c r="U28">
        <v>111.9</v>
      </c>
      <c r="V28">
        <v>109.7</v>
      </c>
      <c r="W28">
        <v>110.5</v>
      </c>
      <c r="X28">
        <v>109.6</v>
      </c>
      <c r="Y28">
        <v>108.1</v>
      </c>
      <c r="Z28">
        <v>109.9</v>
      </c>
      <c r="AA28">
        <v>107.5</v>
      </c>
      <c r="AB28">
        <v>110.6</v>
      </c>
      <c r="AC28">
        <v>106.8</v>
      </c>
      <c r="AD28">
        <v>109</v>
      </c>
      <c r="AE28">
        <v>113.7</v>
      </c>
      <c r="AF28" t="str">
        <f>IF(AND(CPI_Data[[#This Row],[Date]]&gt;=DATE(2019,3,1),CPI_Data[[#This Row],[Date]]&lt;DATE(2020,3,1)),"Pre-COVID",IF(AND(CPI_Data[[#This Row],[Date]]&gt;=DATE(2020,3,1),CPI_Data[[#This Row],[Date]]&lt;DATE(2021,3,1)),"Post-COVID",""))</f>
        <v/>
      </c>
    </row>
    <row r="29" spans="1:32" hidden="1" x14ac:dyDescent="0.25">
      <c r="A29" t="s">
        <v>30</v>
      </c>
      <c r="B29">
        <v>2013</v>
      </c>
      <c r="C29" s="1" t="s">
        <v>43</v>
      </c>
      <c r="D29" s="2">
        <f>DATE(CPI_Data[[#This Row],[Year]],MATCH(CPI_Data[[#This Row],[Month]],{"January","February","March","April","May","June","July","August","September","October","November","December"},0),1)</f>
        <v>41548</v>
      </c>
      <c r="E29">
        <v>116.3</v>
      </c>
      <c r="F29">
        <v>115.4</v>
      </c>
      <c r="G29">
        <v>112.6</v>
      </c>
      <c r="H29">
        <v>111.7</v>
      </c>
      <c r="I29">
        <v>107.7</v>
      </c>
      <c r="J29">
        <v>113.2</v>
      </c>
      <c r="K29">
        <v>164.9</v>
      </c>
      <c r="L29">
        <v>108.3</v>
      </c>
      <c r="M29">
        <v>103.9</v>
      </c>
      <c r="N29">
        <v>108.2</v>
      </c>
      <c r="O29">
        <v>111.1</v>
      </c>
      <c r="P29">
        <v>114.9</v>
      </c>
      <c r="Q29">
        <v>119.8</v>
      </c>
      <c r="R29">
        <v>112.2</v>
      </c>
      <c r="S29">
        <v>113.6</v>
      </c>
      <c r="T29">
        <v>112.3</v>
      </c>
      <c r="U29">
        <v>113.4</v>
      </c>
      <c r="V29" t="s">
        <v>32</v>
      </c>
      <c r="W29">
        <v>111.6</v>
      </c>
      <c r="X29">
        <v>110.4</v>
      </c>
      <c r="Y29">
        <v>108.9</v>
      </c>
      <c r="Z29">
        <v>109.3</v>
      </c>
      <c r="AA29">
        <v>108.3</v>
      </c>
      <c r="AB29">
        <v>110.2</v>
      </c>
      <c r="AC29">
        <v>107.5</v>
      </c>
      <c r="AD29">
        <v>109.1</v>
      </c>
      <c r="AE29">
        <v>115.5</v>
      </c>
      <c r="AF29" t="str">
        <f>IF(AND(CPI_Data[[#This Row],[Date]]&gt;=DATE(2019,3,1),CPI_Data[[#This Row],[Date]]&lt;DATE(2020,3,1)),"Pre-COVID",IF(AND(CPI_Data[[#This Row],[Date]]&gt;=DATE(2020,3,1),CPI_Data[[#This Row],[Date]]&lt;DATE(2021,3,1)),"Post-COVID",""))</f>
        <v/>
      </c>
    </row>
    <row r="30" spans="1:32" hidden="1" x14ac:dyDescent="0.25">
      <c r="A30" t="s">
        <v>33</v>
      </c>
      <c r="B30">
        <v>2013</v>
      </c>
      <c r="C30" s="1" t="s">
        <v>43</v>
      </c>
      <c r="D30" s="2">
        <f>DATE(CPI_Data[[#This Row],[Year]],MATCH(CPI_Data[[#This Row],[Month]],{"January","February","March","April","May","June","July","August","September","October","November","December"},0),1)</f>
        <v>41548</v>
      </c>
      <c r="E30">
        <v>118.9</v>
      </c>
      <c r="F30">
        <v>118.1</v>
      </c>
      <c r="G30">
        <v>114.5</v>
      </c>
      <c r="H30">
        <v>110.4</v>
      </c>
      <c r="I30">
        <v>102.3</v>
      </c>
      <c r="J30">
        <v>106.2</v>
      </c>
      <c r="K30">
        <v>183.5</v>
      </c>
      <c r="L30">
        <v>105.3</v>
      </c>
      <c r="M30">
        <v>100.2</v>
      </c>
      <c r="N30">
        <v>109.6</v>
      </c>
      <c r="O30">
        <v>111.4</v>
      </c>
      <c r="P30">
        <v>116</v>
      </c>
      <c r="Q30">
        <v>120.8</v>
      </c>
      <c r="R30">
        <v>113.5</v>
      </c>
      <c r="S30">
        <v>112.5</v>
      </c>
      <c r="T30">
        <v>109.7</v>
      </c>
      <c r="U30">
        <v>112</v>
      </c>
      <c r="V30">
        <v>110.5</v>
      </c>
      <c r="W30">
        <v>109.7</v>
      </c>
      <c r="X30">
        <v>110.2</v>
      </c>
      <c r="Y30">
        <v>108.2</v>
      </c>
      <c r="Z30">
        <v>109.7</v>
      </c>
      <c r="AA30">
        <v>108</v>
      </c>
      <c r="AB30">
        <v>111.3</v>
      </c>
      <c r="AC30">
        <v>107.3</v>
      </c>
      <c r="AD30">
        <v>109.4</v>
      </c>
      <c r="AE30">
        <v>114</v>
      </c>
      <c r="AF30" t="str">
        <f>IF(AND(CPI_Data[[#This Row],[Date]]&gt;=DATE(2019,3,1),CPI_Data[[#This Row],[Date]]&lt;DATE(2020,3,1)),"Pre-COVID",IF(AND(CPI_Data[[#This Row],[Date]]&gt;=DATE(2020,3,1),CPI_Data[[#This Row],[Date]]&lt;DATE(2021,3,1)),"Post-COVID",""))</f>
        <v/>
      </c>
    </row>
    <row r="31" spans="1:32" hidden="1" x14ac:dyDescent="0.25">
      <c r="A31" t="s">
        <v>34</v>
      </c>
      <c r="B31">
        <v>2013</v>
      </c>
      <c r="C31" s="1" t="s">
        <v>43</v>
      </c>
      <c r="D31" s="2">
        <f>DATE(CPI_Data[[#This Row],[Year]],MATCH(CPI_Data[[#This Row],[Month]],{"January","February","March","April","May","June","July","August","September","October","November","December"},0),1)</f>
        <v>41548</v>
      </c>
      <c r="E31">
        <v>117.1</v>
      </c>
      <c r="F31">
        <v>116.3</v>
      </c>
      <c r="G31">
        <v>113.3</v>
      </c>
      <c r="H31">
        <v>111.2</v>
      </c>
      <c r="I31">
        <v>105.7</v>
      </c>
      <c r="J31">
        <v>109.9</v>
      </c>
      <c r="K31">
        <v>171.2</v>
      </c>
      <c r="L31">
        <v>107.3</v>
      </c>
      <c r="M31">
        <v>102.7</v>
      </c>
      <c r="N31">
        <v>108.7</v>
      </c>
      <c r="O31">
        <v>111.2</v>
      </c>
      <c r="P31">
        <v>115.4</v>
      </c>
      <c r="Q31">
        <v>120.2</v>
      </c>
      <c r="R31">
        <v>112.5</v>
      </c>
      <c r="S31">
        <v>113.2</v>
      </c>
      <c r="T31">
        <v>111.2</v>
      </c>
      <c r="U31">
        <v>112.8</v>
      </c>
      <c r="V31">
        <v>110.5</v>
      </c>
      <c r="W31">
        <v>110.9</v>
      </c>
      <c r="X31">
        <v>110.3</v>
      </c>
      <c r="Y31">
        <v>108.6</v>
      </c>
      <c r="Z31">
        <v>109.5</v>
      </c>
      <c r="AA31">
        <v>108.1</v>
      </c>
      <c r="AB31">
        <v>110.8</v>
      </c>
      <c r="AC31">
        <v>107.4</v>
      </c>
      <c r="AD31">
        <v>109.2</v>
      </c>
      <c r="AE31">
        <v>114.8</v>
      </c>
      <c r="AF31" t="str">
        <f>IF(AND(CPI_Data[[#This Row],[Date]]&gt;=DATE(2019,3,1),CPI_Data[[#This Row],[Date]]&lt;DATE(2020,3,1)),"Pre-COVID",IF(AND(CPI_Data[[#This Row],[Date]]&gt;=DATE(2020,3,1),CPI_Data[[#This Row],[Date]]&lt;DATE(2021,3,1)),"Post-COVID",""))</f>
        <v/>
      </c>
    </row>
    <row r="32" spans="1:32" hidden="1" x14ac:dyDescent="0.25">
      <c r="A32" t="s">
        <v>30</v>
      </c>
      <c r="B32">
        <v>2013</v>
      </c>
      <c r="C32" s="1" t="s">
        <v>44</v>
      </c>
      <c r="D32" s="2">
        <v>41591</v>
      </c>
      <c r="E32">
        <v>117.3</v>
      </c>
      <c r="F32">
        <v>114.9</v>
      </c>
      <c r="G32">
        <v>116.2</v>
      </c>
      <c r="H32">
        <v>112.8</v>
      </c>
      <c r="I32">
        <v>108.9</v>
      </c>
      <c r="J32">
        <v>116.6</v>
      </c>
      <c r="K32">
        <v>178.1</v>
      </c>
      <c r="L32">
        <v>109.1</v>
      </c>
      <c r="M32">
        <v>103.6</v>
      </c>
      <c r="N32">
        <v>109</v>
      </c>
      <c r="O32">
        <v>111.8</v>
      </c>
      <c r="P32">
        <v>116</v>
      </c>
      <c r="Q32">
        <v>122.5</v>
      </c>
      <c r="R32">
        <v>112.8</v>
      </c>
      <c r="S32">
        <v>114.6</v>
      </c>
      <c r="T32">
        <v>113.1</v>
      </c>
      <c r="U32">
        <v>114.4</v>
      </c>
      <c r="V32" t="s">
        <v>32</v>
      </c>
      <c r="W32">
        <v>112.6</v>
      </c>
      <c r="X32">
        <v>111.3</v>
      </c>
      <c r="Y32">
        <v>109.7</v>
      </c>
      <c r="Z32">
        <v>109.6</v>
      </c>
      <c r="AA32">
        <v>108.7</v>
      </c>
      <c r="AB32">
        <v>111</v>
      </c>
      <c r="AC32">
        <v>108.2</v>
      </c>
      <c r="AD32">
        <v>109.8</v>
      </c>
      <c r="AE32">
        <v>117.4</v>
      </c>
      <c r="AF32" t="str">
        <f>IF(AND(CPI_Data[[#This Row],[Date]]&gt;=DATE(2019,3,1),CPI_Data[[#This Row],[Date]]&lt;DATE(2020,3,1)),"Pre-COVID",IF(AND(CPI_Data[[#This Row],[Date]]&gt;=DATE(2020,3,1),CPI_Data[[#This Row],[Date]]&lt;DATE(2021,3,1)),"Post-COVID",""))</f>
        <v/>
      </c>
    </row>
    <row r="33" spans="1:32" hidden="1" x14ac:dyDescent="0.25">
      <c r="A33" t="s">
        <v>33</v>
      </c>
      <c r="B33">
        <v>2013</v>
      </c>
      <c r="C33" s="1" t="s">
        <v>45</v>
      </c>
      <c r="D33" s="2">
        <f>DATE(CPI_Data[[#This Row],[Year]],MATCH(CPI_Data[[#This Row],[Month]],{"January","February","March","April","May","June","July","August","September","October","November","December"},0),1)</f>
        <v>41579</v>
      </c>
      <c r="E33">
        <v>119.8</v>
      </c>
      <c r="F33">
        <v>116.3</v>
      </c>
      <c r="G33">
        <v>122.6</v>
      </c>
      <c r="H33">
        <v>112</v>
      </c>
      <c r="I33">
        <v>103.2</v>
      </c>
      <c r="J33">
        <v>110</v>
      </c>
      <c r="K33">
        <v>192.8</v>
      </c>
      <c r="L33">
        <v>106.3</v>
      </c>
      <c r="M33">
        <v>99.5</v>
      </c>
      <c r="N33">
        <v>110.3</v>
      </c>
      <c r="O33">
        <v>111.8</v>
      </c>
      <c r="P33">
        <v>117.1</v>
      </c>
      <c r="Q33">
        <v>122.9</v>
      </c>
      <c r="R33">
        <v>114.1</v>
      </c>
      <c r="S33">
        <v>113.5</v>
      </c>
      <c r="T33">
        <v>110.3</v>
      </c>
      <c r="U33">
        <v>113</v>
      </c>
      <c r="V33">
        <v>111.1</v>
      </c>
      <c r="W33">
        <v>110</v>
      </c>
      <c r="X33">
        <v>110.9</v>
      </c>
      <c r="Y33">
        <v>108.6</v>
      </c>
      <c r="Z33">
        <v>109.5</v>
      </c>
      <c r="AA33">
        <v>108.5</v>
      </c>
      <c r="AB33">
        <v>111.3</v>
      </c>
      <c r="AC33">
        <v>107.9</v>
      </c>
      <c r="AD33">
        <v>109.6</v>
      </c>
      <c r="AE33">
        <v>115</v>
      </c>
      <c r="AF33" t="str">
        <f>IF(AND(CPI_Data[[#This Row],[Date]]&gt;=DATE(2019,3,1),CPI_Data[[#This Row],[Date]]&lt;DATE(2020,3,1)),"Pre-COVID",IF(AND(CPI_Data[[#This Row],[Date]]&gt;=DATE(2020,3,1),CPI_Data[[#This Row],[Date]]&lt;DATE(2021,3,1)),"Post-COVID",""))</f>
        <v/>
      </c>
    </row>
    <row r="34" spans="1:32" hidden="1" x14ac:dyDescent="0.25">
      <c r="A34" t="s">
        <v>34</v>
      </c>
      <c r="B34">
        <v>2013</v>
      </c>
      <c r="C34" s="1" t="s">
        <v>45</v>
      </c>
      <c r="D34" s="2">
        <f>DATE(CPI_Data[[#This Row],[Year]],MATCH(CPI_Data[[#This Row],[Month]],{"January","February","March","April","May","June","July","August","September","October","November","December"},0),1)</f>
        <v>41579</v>
      </c>
      <c r="E34">
        <v>118.1</v>
      </c>
      <c r="F34">
        <v>115.4</v>
      </c>
      <c r="G34">
        <v>118.7</v>
      </c>
      <c r="H34">
        <v>112.5</v>
      </c>
      <c r="I34">
        <v>106.8</v>
      </c>
      <c r="J34">
        <v>113.5</v>
      </c>
      <c r="K34">
        <v>183.1</v>
      </c>
      <c r="L34">
        <v>108.2</v>
      </c>
      <c r="M34">
        <v>102.2</v>
      </c>
      <c r="N34">
        <v>109.4</v>
      </c>
      <c r="O34">
        <v>111.8</v>
      </c>
      <c r="P34">
        <v>116.5</v>
      </c>
      <c r="Q34">
        <v>122.6</v>
      </c>
      <c r="R34">
        <v>113.1</v>
      </c>
      <c r="S34">
        <v>114.2</v>
      </c>
      <c r="T34">
        <v>111.9</v>
      </c>
      <c r="U34">
        <v>113.8</v>
      </c>
      <c r="V34">
        <v>111.1</v>
      </c>
      <c r="W34">
        <v>111.6</v>
      </c>
      <c r="X34">
        <v>111.1</v>
      </c>
      <c r="Y34">
        <v>109.3</v>
      </c>
      <c r="Z34">
        <v>109.5</v>
      </c>
      <c r="AA34">
        <v>108.6</v>
      </c>
      <c r="AB34">
        <v>111.2</v>
      </c>
      <c r="AC34">
        <v>108.1</v>
      </c>
      <c r="AD34">
        <v>109.7</v>
      </c>
      <c r="AE34">
        <v>116.3</v>
      </c>
      <c r="AF34" t="str">
        <f>IF(AND(CPI_Data[[#This Row],[Date]]&gt;=DATE(2019,3,1),CPI_Data[[#This Row],[Date]]&lt;DATE(2020,3,1)),"Pre-COVID",IF(AND(CPI_Data[[#This Row],[Date]]&gt;=DATE(2020,3,1),CPI_Data[[#This Row],[Date]]&lt;DATE(2021,3,1)),"Post-COVID",""))</f>
        <v/>
      </c>
    </row>
    <row r="35" spans="1:32" hidden="1" x14ac:dyDescent="0.25">
      <c r="A35" t="s">
        <v>30</v>
      </c>
      <c r="B35">
        <v>2013</v>
      </c>
      <c r="C35" s="1" t="s">
        <v>46</v>
      </c>
      <c r="D35" s="2">
        <f>DATE(CPI_Data[[#This Row],[Year]],MATCH(CPI_Data[[#This Row],[Month]],{"January","February","March","April","May","June","July","August","September","October","November","December"},0),1)</f>
        <v>41609</v>
      </c>
      <c r="E35">
        <v>118.4</v>
      </c>
      <c r="F35">
        <v>115.9</v>
      </c>
      <c r="G35">
        <v>120.4</v>
      </c>
      <c r="H35">
        <v>113.8</v>
      </c>
      <c r="I35">
        <v>109.5</v>
      </c>
      <c r="J35">
        <v>115.5</v>
      </c>
      <c r="K35">
        <v>145.69999999999999</v>
      </c>
      <c r="L35">
        <v>109.5</v>
      </c>
      <c r="M35">
        <v>102.9</v>
      </c>
      <c r="N35">
        <v>109.8</v>
      </c>
      <c r="O35">
        <v>112.1</v>
      </c>
      <c r="P35">
        <v>116.8</v>
      </c>
      <c r="Q35">
        <v>118.7</v>
      </c>
      <c r="R35">
        <v>113.6</v>
      </c>
      <c r="S35">
        <v>115.8</v>
      </c>
      <c r="T35">
        <v>114</v>
      </c>
      <c r="U35">
        <v>115.5</v>
      </c>
      <c r="V35" t="s">
        <v>32</v>
      </c>
      <c r="W35">
        <v>112.8</v>
      </c>
      <c r="X35">
        <v>112.1</v>
      </c>
      <c r="Y35">
        <v>110.1</v>
      </c>
      <c r="Z35">
        <v>109.9</v>
      </c>
      <c r="AA35">
        <v>109.2</v>
      </c>
      <c r="AB35">
        <v>111.6</v>
      </c>
      <c r="AC35">
        <v>108.1</v>
      </c>
      <c r="AD35">
        <v>110.1</v>
      </c>
      <c r="AE35">
        <v>115.5</v>
      </c>
      <c r="AF35" t="str">
        <f>IF(AND(CPI_Data[[#This Row],[Date]]&gt;=DATE(2019,3,1),CPI_Data[[#This Row],[Date]]&lt;DATE(2020,3,1)),"Pre-COVID",IF(AND(CPI_Data[[#This Row],[Date]]&gt;=DATE(2020,3,1),CPI_Data[[#This Row],[Date]]&lt;DATE(2021,3,1)),"Post-COVID",""))</f>
        <v/>
      </c>
    </row>
    <row r="36" spans="1:32" hidden="1" x14ac:dyDescent="0.25">
      <c r="A36" t="s">
        <v>33</v>
      </c>
      <c r="B36">
        <v>2013</v>
      </c>
      <c r="C36" s="1" t="s">
        <v>46</v>
      </c>
      <c r="D36" s="2">
        <f>DATE(CPI_Data[[#This Row],[Year]],MATCH(CPI_Data[[#This Row],[Month]],{"January","February","March","April","May","June","July","August","September","October","November","December"},0),1)</f>
        <v>41609</v>
      </c>
      <c r="E36">
        <v>120.5</v>
      </c>
      <c r="F36">
        <v>118.1</v>
      </c>
      <c r="G36">
        <v>128.5</v>
      </c>
      <c r="H36">
        <v>112.8</v>
      </c>
      <c r="I36">
        <v>103.4</v>
      </c>
      <c r="J36">
        <v>110.7</v>
      </c>
      <c r="K36">
        <v>144.80000000000001</v>
      </c>
      <c r="L36">
        <v>107.1</v>
      </c>
      <c r="M36">
        <v>98.6</v>
      </c>
      <c r="N36">
        <v>111.9</v>
      </c>
      <c r="O36">
        <v>112.1</v>
      </c>
      <c r="P36">
        <v>118.1</v>
      </c>
      <c r="Q36">
        <v>117.8</v>
      </c>
      <c r="R36">
        <v>115</v>
      </c>
      <c r="S36">
        <v>114.2</v>
      </c>
      <c r="T36">
        <v>110.9</v>
      </c>
      <c r="U36">
        <v>113.7</v>
      </c>
      <c r="V36">
        <v>110.7</v>
      </c>
      <c r="W36">
        <v>110.4</v>
      </c>
      <c r="X36">
        <v>111.3</v>
      </c>
      <c r="Y36">
        <v>109</v>
      </c>
      <c r="Z36">
        <v>109.7</v>
      </c>
      <c r="AA36">
        <v>108.9</v>
      </c>
      <c r="AB36">
        <v>111.4</v>
      </c>
      <c r="AC36">
        <v>107.7</v>
      </c>
      <c r="AD36">
        <v>109.8</v>
      </c>
      <c r="AE36">
        <v>113.3</v>
      </c>
      <c r="AF36" t="str">
        <f>IF(AND(CPI_Data[[#This Row],[Date]]&gt;=DATE(2019,3,1),CPI_Data[[#This Row],[Date]]&lt;DATE(2020,3,1)),"Pre-COVID",IF(AND(CPI_Data[[#This Row],[Date]]&gt;=DATE(2020,3,1),CPI_Data[[#This Row],[Date]]&lt;DATE(2021,3,1)),"Post-COVID",""))</f>
        <v/>
      </c>
    </row>
    <row r="37" spans="1:32" hidden="1" x14ac:dyDescent="0.25">
      <c r="A37" t="s">
        <v>34</v>
      </c>
      <c r="B37">
        <v>2013</v>
      </c>
      <c r="C37" s="1" t="s">
        <v>46</v>
      </c>
      <c r="D37" s="2">
        <f>DATE(CPI_Data[[#This Row],[Year]],MATCH(CPI_Data[[#This Row],[Month]],{"January","February","March","April","May","June","July","August","September","October","November","December"},0),1)</f>
        <v>41609</v>
      </c>
      <c r="E37">
        <v>119.1</v>
      </c>
      <c r="F37">
        <v>116.7</v>
      </c>
      <c r="G37">
        <v>123.5</v>
      </c>
      <c r="H37">
        <v>113.4</v>
      </c>
      <c r="I37">
        <v>107.3</v>
      </c>
      <c r="J37">
        <v>113.3</v>
      </c>
      <c r="K37">
        <v>145.4</v>
      </c>
      <c r="L37">
        <v>108.7</v>
      </c>
      <c r="M37">
        <v>101.5</v>
      </c>
      <c r="N37">
        <v>110.5</v>
      </c>
      <c r="O37">
        <v>112.1</v>
      </c>
      <c r="P37">
        <v>117.4</v>
      </c>
      <c r="Q37">
        <v>118.4</v>
      </c>
      <c r="R37">
        <v>114</v>
      </c>
      <c r="S37">
        <v>115.2</v>
      </c>
      <c r="T37">
        <v>112.7</v>
      </c>
      <c r="U37">
        <v>114.8</v>
      </c>
      <c r="V37">
        <v>110.7</v>
      </c>
      <c r="W37">
        <v>111.9</v>
      </c>
      <c r="X37">
        <v>111.7</v>
      </c>
      <c r="Y37">
        <v>109.7</v>
      </c>
      <c r="Z37">
        <v>109.8</v>
      </c>
      <c r="AA37">
        <v>109</v>
      </c>
      <c r="AB37">
        <v>111.5</v>
      </c>
      <c r="AC37">
        <v>107.9</v>
      </c>
      <c r="AD37">
        <v>110</v>
      </c>
      <c r="AE37">
        <v>114.5</v>
      </c>
      <c r="AF37" t="str">
        <f>IF(AND(CPI_Data[[#This Row],[Date]]&gt;=DATE(2019,3,1),CPI_Data[[#This Row],[Date]]&lt;DATE(2020,3,1)),"Pre-COVID",IF(AND(CPI_Data[[#This Row],[Date]]&gt;=DATE(2020,3,1),CPI_Data[[#This Row],[Date]]&lt;DATE(2021,3,1)),"Post-COVID",""))</f>
        <v/>
      </c>
    </row>
    <row r="38" spans="1:32" hidden="1" x14ac:dyDescent="0.25">
      <c r="A38" t="s">
        <v>30</v>
      </c>
      <c r="B38">
        <v>2014</v>
      </c>
      <c r="C38" s="1" t="s">
        <v>31</v>
      </c>
      <c r="D38" s="2">
        <f>DATE(CPI_Data[[#This Row],[Year]],MATCH(CPI_Data[[#This Row],[Month]],{"January","February","March","April","May","June","July","August","September","October","November","December"},0),1)</f>
        <v>41640</v>
      </c>
      <c r="E38">
        <v>118.9</v>
      </c>
      <c r="F38">
        <v>117.1</v>
      </c>
      <c r="G38">
        <v>120.5</v>
      </c>
      <c r="H38">
        <v>114.4</v>
      </c>
      <c r="I38">
        <v>109</v>
      </c>
      <c r="J38">
        <v>115.5</v>
      </c>
      <c r="K38">
        <v>123.9</v>
      </c>
      <c r="L38">
        <v>109.6</v>
      </c>
      <c r="M38">
        <v>101.8</v>
      </c>
      <c r="N38">
        <v>110.2</v>
      </c>
      <c r="O38">
        <v>112.4</v>
      </c>
      <c r="P38">
        <v>117.3</v>
      </c>
      <c r="Q38">
        <v>116</v>
      </c>
      <c r="R38">
        <v>114</v>
      </c>
      <c r="S38">
        <v>116.5</v>
      </c>
      <c r="T38">
        <v>114.5</v>
      </c>
      <c r="U38">
        <v>116.2</v>
      </c>
      <c r="V38" t="s">
        <v>32</v>
      </c>
      <c r="W38">
        <v>113</v>
      </c>
      <c r="X38">
        <v>112.6</v>
      </c>
      <c r="Y38">
        <v>110.6</v>
      </c>
      <c r="Z38">
        <v>110.5</v>
      </c>
      <c r="AA38">
        <v>109.6</v>
      </c>
      <c r="AB38">
        <v>111.8</v>
      </c>
      <c r="AC38">
        <v>108.3</v>
      </c>
      <c r="AD38">
        <v>110.6</v>
      </c>
      <c r="AE38">
        <v>114.2</v>
      </c>
      <c r="AF38" t="str">
        <f>IF(AND(CPI_Data[[#This Row],[Date]]&gt;=DATE(2019,3,1),CPI_Data[[#This Row],[Date]]&lt;DATE(2020,3,1)),"Pre-COVID",IF(AND(CPI_Data[[#This Row],[Date]]&gt;=DATE(2020,3,1),CPI_Data[[#This Row],[Date]]&lt;DATE(2021,3,1)),"Post-COVID",""))</f>
        <v/>
      </c>
    </row>
    <row r="39" spans="1:32" hidden="1" x14ac:dyDescent="0.25">
      <c r="A39" t="s">
        <v>33</v>
      </c>
      <c r="B39">
        <v>2014</v>
      </c>
      <c r="C39" s="1" t="s">
        <v>31</v>
      </c>
      <c r="D39" s="2">
        <f>DATE(CPI_Data[[#This Row],[Year]],MATCH(CPI_Data[[#This Row],[Month]],{"January","February","March","April","May","June","July","August","September","October","November","December"},0),1)</f>
        <v>41640</v>
      </c>
      <c r="E39">
        <v>121.2</v>
      </c>
      <c r="F39">
        <v>122</v>
      </c>
      <c r="G39">
        <v>129.9</v>
      </c>
      <c r="H39">
        <v>113.6</v>
      </c>
      <c r="I39">
        <v>102.9</v>
      </c>
      <c r="J39">
        <v>112.1</v>
      </c>
      <c r="K39">
        <v>118.9</v>
      </c>
      <c r="L39">
        <v>107.5</v>
      </c>
      <c r="M39">
        <v>96.9</v>
      </c>
      <c r="N39">
        <v>112.7</v>
      </c>
      <c r="O39">
        <v>112.1</v>
      </c>
      <c r="P39">
        <v>119</v>
      </c>
      <c r="Q39">
        <v>115.5</v>
      </c>
      <c r="R39">
        <v>115.7</v>
      </c>
      <c r="S39">
        <v>114.8</v>
      </c>
      <c r="T39">
        <v>111.3</v>
      </c>
      <c r="U39">
        <v>114.3</v>
      </c>
      <c r="V39">
        <v>111.6</v>
      </c>
      <c r="W39">
        <v>111</v>
      </c>
      <c r="X39">
        <v>111.9</v>
      </c>
      <c r="Y39">
        <v>109.7</v>
      </c>
      <c r="Z39">
        <v>110.8</v>
      </c>
      <c r="AA39">
        <v>109.8</v>
      </c>
      <c r="AB39">
        <v>111.5</v>
      </c>
      <c r="AC39">
        <v>108</v>
      </c>
      <c r="AD39">
        <v>110.5</v>
      </c>
      <c r="AE39">
        <v>112.9</v>
      </c>
      <c r="AF39" t="str">
        <f>IF(AND(CPI_Data[[#This Row],[Date]]&gt;=DATE(2019,3,1),CPI_Data[[#This Row],[Date]]&lt;DATE(2020,3,1)),"Pre-COVID",IF(AND(CPI_Data[[#This Row],[Date]]&gt;=DATE(2020,3,1),CPI_Data[[#This Row],[Date]]&lt;DATE(2021,3,1)),"Post-COVID",""))</f>
        <v/>
      </c>
    </row>
    <row r="40" spans="1:32" hidden="1" x14ac:dyDescent="0.25">
      <c r="A40" t="s">
        <v>34</v>
      </c>
      <c r="B40">
        <v>2014</v>
      </c>
      <c r="C40" s="1" t="s">
        <v>31</v>
      </c>
      <c r="D40" s="2">
        <f>DATE(CPI_Data[[#This Row],[Year]],MATCH(CPI_Data[[#This Row],[Month]],{"January","February","March","April","May","June","July","August","September","October","November","December"},0),1)</f>
        <v>41640</v>
      </c>
      <c r="E40">
        <v>119.6</v>
      </c>
      <c r="F40">
        <v>118.8</v>
      </c>
      <c r="G40">
        <v>124.1</v>
      </c>
      <c r="H40">
        <v>114.1</v>
      </c>
      <c r="I40">
        <v>106.8</v>
      </c>
      <c r="J40">
        <v>113.9</v>
      </c>
      <c r="K40">
        <v>122.2</v>
      </c>
      <c r="L40">
        <v>108.9</v>
      </c>
      <c r="M40">
        <v>100.2</v>
      </c>
      <c r="N40">
        <v>111</v>
      </c>
      <c r="O40">
        <v>112.3</v>
      </c>
      <c r="P40">
        <v>118.1</v>
      </c>
      <c r="Q40">
        <v>115.8</v>
      </c>
      <c r="R40">
        <v>114.5</v>
      </c>
      <c r="S40">
        <v>115.8</v>
      </c>
      <c r="T40">
        <v>113.2</v>
      </c>
      <c r="U40">
        <v>115.4</v>
      </c>
      <c r="V40">
        <v>111.6</v>
      </c>
      <c r="W40">
        <v>112.2</v>
      </c>
      <c r="X40">
        <v>112.3</v>
      </c>
      <c r="Y40">
        <v>110.3</v>
      </c>
      <c r="Z40">
        <v>110.7</v>
      </c>
      <c r="AA40">
        <v>109.7</v>
      </c>
      <c r="AB40">
        <v>111.6</v>
      </c>
      <c r="AC40">
        <v>108.2</v>
      </c>
      <c r="AD40">
        <v>110.6</v>
      </c>
      <c r="AE40">
        <v>113.6</v>
      </c>
      <c r="AF40" t="str">
        <f>IF(AND(CPI_Data[[#This Row],[Date]]&gt;=DATE(2019,3,1),CPI_Data[[#This Row],[Date]]&lt;DATE(2020,3,1)),"Pre-COVID",IF(AND(CPI_Data[[#This Row],[Date]]&gt;=DATE(2020,3,1),CPI_Data[[#This Row],[Date]]&lt;DATE(2021,3,1)),"Post-COVID",""))</f>
        <v/>
      </c>
    </row>
    <row r="41" spans="1:32" hidden="1" x14ac:dyDescent="0.25">
      <c r="A41" t="s">
        <v>30</v>
      </c>
      <c r="B41">
        <v>2014</v>
      </c>
      <c r="C41" s="1" t="s">
        <v>35</v>
      </c>
      <c r="D41" s="2">
        <f>DATE(CPI_Data[[#This Row],[Year]],MATCH(CPI_Data[[#This Row],[Month]],{"January","February","March","April","May","June","July","August","September","October","November","December"},0),1)</f>
        <v>41671</v>
      </c>
      <c r="E41">
        <v>119.4</v>
      </c>
      <c r="F41">
        <v>117.7</v>
      </c>
      <c r="G41">
        <v>121.2</v>
      </c>
      <c r="H41">
        <v>115</v>
      </c>
      <c r="I41">
        <v>109</v>
      </c>
      <c r="J41">
        <v>116.6</v>
      </c>
      <c r="K41">
        <v>116</v>
      </c>
      <c r="L41">
        <v>109.8</v>
      </c>
      <c r="M41">
        <v>101.1</v>
      </c>
      <c r="N41">
        <v>110.4</v>
      </c>
      <c r="O41">
        <v>112.9</v>
      </c>
      <c r="P41">
        <v>117.8</v>
      </c>
      <c r="Q41">
        <v>115.3</v>
      </c>
      <c r="R41">
        <v>114.2</v>
      </c>
      <c r="S41">
        <v>117.1</v>
      </c>
      <c r="T41">
        <v>114.5</v>
      </c>
      <c r="U41">
        <v>116.7</v>
      </c>
      <c r="V41" t="s">
        <v>32</v>
      </c>
      <c r="W41">
        <v>113.2</v>
      </c>
      <c r="X41">
        <v>112.9</v>
      </c>
      <c r="Y41">
        <v>110.9</v>
      </c>
      <c r="Z41">
        <v>110.8</v>
      </c>
      <c r="AA41">
        <v>109.9</v>
      </c>
      <c r="AB41">
        <v>112</v>
      </c>
      <c r="AC41">
        <v>108.7</v>
      </c>
      <c r="AD41">
        <v>110.9</v>
      </c>
      <c r="AE41">
        <v>114</v>
      </c>
      <c r="AF41" t="str">
        <f>IF(AND(CPI_Data[[#This Row],[Date]]&gt;=DATE(2019,3,1),CPI_Data[[#This Row],[Date]]&lt;DATE(2020,3,1)),"Pre-COVID",IF(AND(CPI_Data[[#This Row],[Date]]&gt;=DATE(2020,3,1),CPI_Data[[#This Row],[Date]]&lt;DATE(2021,3,1)),"Post-COVID",""))</f>
        <v/>
      </c>
    </row>
    <row r="42" spans="1:32" hidden="1" x14ac:dyDescent="0.25">
      <c r="A42" t="s">
        <v>33</v>
      </c>
      <c r="B42">
        <v>2014</v>
      </c>
      <c r="C42" s="1" t="s">
        <v>35</v>
      </c>
      <c r="D42" s="2">
        <f>DATE(CPI_Data[[#This Row],[Year]],MATCH(CPI_Data[[#This Row],[Month]],{"January","February","March","April","May","June","July","August","September","October","November","December"},0),1)</f>
        <v>41671</v>
      </c>
      <c r="E42">
        <v>121.9</v>
      </c>
      <c r="F42">
        <v>122</v>
      </c>
      <c r="G42">
        <v>124.5</v>
      </c>
      <c r="H42">
        <v>115.2</v>
      </c>
      <c r="I42">
        <v>102.5</v>
      </c>
      <c r="J42">
        <v>114.1</v>
      </c>
      <c r="K42">
        <v>111.5</v>
      </c>
      <c r="L42">
        <v>108.2</v>
      </c>
      <c r="M42">
        <v>95.4</v>
      </c>
      <c r="N42">
        <v>113.5</v>
      </c>
      <c r="O42">
        <v>112.1</v>
      </c>
      <c r="P42">
        <v>119.9</v>
      </c>
      <c r="Q42">
        <v>115.2</v>
      </c>
      <c r="R42">
        <v>116.2</v>
      </c>
      <c r="S42">
        <v>115.3</v>
      </c>
      <c r="T42">
        <v>111.7</v>
      </c>
      <c r="U42">
        <v>114.7</v>
      </c>
      <c r="V42">
        <v>112.5</v>
      </c>
      <c r="W42">
        <v>111.1</v>
      </c>
      <c r="X42">
        <v>112.6</v>
      </c>
      <c r="Y42">
        <v>110.4</v>
      </c>
      <c r="Z42">
        <v>111.3</v>
      </c>
      <c r="AA42">
        <v>110.3</v>
      </c>
      <c r="AB42">
        <v>111.6</v>
      </c>
      <c r="AC42">
        <v>108.7</v>
      </c>
      <c r="AD42">
        <v>111</v>
      </c>
      <c r="AE42">
        <v>113.1</v>
      </c>
      <c r="AF42" t="str">
        <f>IF(AND(CPI_Data[[#This Row],[Date]]&gt;=DATE(2019,3,1),CPI_Data[[#This Row],[Date]]&lt;DATE(2020,3,1)),"Pre-COVID",IF(AND(CPI_Data[[#This Row],[Date]]&gt;=DATE(2020,3,1),CPI_Data[[#This Row],[Date]]&lt;DATE(2021,3,1)),"Post-COVID",""))</f>
        <v/>
      </c>
    </row>
    <row r="43" spans="1:32" hidden="1" x14ac:dyDescent="0.25">
      <c r="A43" t="s">
        <v>34</v>
      </c>
      <c r="B43">
        <v>2014</v>
      </c>
      <c r="C43" s="1" t="s">
        <v>35</v>
      </c>
      <c r="D43" s="2">
        <f>DATE(CPI_Data[[#This Row],[Year]],MATCH(CPI_Data[[#This Row],[Month]],{"January","February","March","April","May","June","July","August","September","October","November","December"},0),1)</f>
        <v>41671</v>
      </c>
      <c r="E43">
        <v>120.2</v>
      </c>
      <c r="F43">
        <v>119.2</v>
      </c>
      <c r="G43">
        <v>122.5</v>
      </c>
      <c r="H43">
        <v>115.1</v>
      </c>
      <c r="I43">
        <v>106.6</v>
      </c>
      <c r="J43">
        <v>115.4</v>
      </c>
      <c r="K43">
        <v>114.5</v>
      </c>
      <c r="L43">
        <v>109.3</v>
      </c>
      <c r="M43">
        <v>99.2</v>
      </c>
      <c r="N43">
        <v>111.4</v>
      </c>
      <c r="O43">
        <v>112.6</v>
      </c>
      <c r="P43">
        <v>118.8</v>
      </c>
      <c r="Q43">
        <v>115.3</v>
      </c>
      <c r="R43">
        <v>114.7</v>
      </c>
      <c r="S43">
        <v>116.4</v>
      </c>
      <c r="T43">
        <v>113.3</v>
      </c>
      <c r="U43">
        <v>115.9</v>
      </c>
      <c r="V43">
        <v>112.5</v>
      </c>
      <c r="W43">
        <v>112.4</v>
      </c>
      <c r="X43">
        <v>112.8</v>
      </c>
      <c r="Y43">
        <v>110.7</v>
      </c>
      <c r="Z43">
        <v>111.1</v>
      </c>
      <c r="AA43">
        <v>110.1</v>
      </c>
      <c r="AB43">
        <v>111.8</v>
      </c>
      <c r="AC43">
        <v>108.7</v>
      </c>
      <c r="AD43">
        <v>110.9</v>
      </c>
      <c r="AE43">
        <v>113.6</v>
      </c>
      <c r="AF43" t="str">
        <f>IF(AND(CPI_Data[[#This Row],[Date]]&gt;=DATE(2019,3,1),CPI_Data[[#This Row],[Date]]&lt;DATE(2020,3,1)),"Pre-COVID",IF(AND(CPI_Data[[#This Row],[Date]]&gt;=DATE(2020,3,1),CPI_Data[[#This Row],[Date]]&lt;DATE(2021,3,1)),"Post-COVID",""))</f>
        <v/>
      </c>
    </row>
    <row r="44" spans="1:32" hidden="1" x14ac:dyDescent="0.25">
      <c r="A44" t="s">
        <v>30</v>
      </c>
      <c r="B44">
        <v>2014</v>
      </c>
      <c r="C44" s="1" t="s">
        <v>36</v>
      </c>
      <c r="D44" s="2">
        <f>DATE(CPI_Data[[#This Row],[Year]],MATCH(CPI_Data[[#This Row],[Month]],{"January","February","March","April","May","June","July","August","September","October","November","December"},0),1)</f>
        <v>41699</v>
      </c>
      <c r="E44">
        <v>120.1</v>
      </c>
      <c r="F44">
        <v>118.1</v>
      </c>
      <c r="G44">
        <v>120.7</v>
      </c>
      <c r="H44">
        <v>116.1</v>
      </c>
      <c r="I44">
        <v>109.3</v>
      </c>
      <c r="J44">
        <v>119.6</v>
      </c>
      <c r="K44">
        <v>117.9</v>
      </c>
      <c r="L44">
        <v>110.2</v>
      </c>
      <c r="M44">
        <v>101.2</v>
      </c>
      <c r="N44">
        <v>110.7</v>
      </c>
      <c r="O44">
        <v>113</v>
      </c>
      <c r="P44">
        <v>118.3</v>
      </c>
      <c r="Q44">
        <v>116.2</v>
      </c>
      <c r="R44">
        <v>114.6</v>
      </c>
      <c r="S44">
        <v>117.5</v>
      </c>
      <c r="T44">
        <v>114.9</v>
      </c>
      <c r="U44">
        <v>117.2</v>
      </c>
      <c r="V44" t="s">
        <v>32</v>
      </c>
      <c r="W44">
        <v>113.4</v>
      </c>
      <c r="X44">
        <v>113.4</v>
      </c>
      <c r="Y44">
        <v>111.4</v>
      </c>
      <c r="Z44">
        <v>111.2</v>
      </c>
      <c r="AA44">
        <v>110.2</v>
      </c>
      <c r="AB44">
        <v>112.4</v>
      </c>
      <c r="AC44">
        <v>108.9</v>
      </c>
      <c r="AD44">
        <v>111.3</v>
      </c>
      <c r="AE44">
        <v>114.6</v>
      </c>
      <c r="AF44" t="str">
        <f>IF(AND(CPI_Data[[#This Row],[Date]]&gt;=DATE(2019,3,1),CPI_Data[[#This Row],[Date]]&lt;DATE(2020,3,1)),"Pre-COVID",IF(AND(CPI_Data[[#This Row],[Date]]&gt;=DATE(2020,3,1),CPI_Data[[#This Row],[Date]]&lt;DATE(2021,3,1)),"Post-COVID",""))</f>
        <v/>
      </c>
    </row>
    <row r="45" spans="1:32" hidden="1" x14ac:dyDescent="0.25">
      <c r="A45" t="s">
        <v>33</v>
      </c>
      <c r="B45">
        <v>2014</v>
      </c>
      <c r="C45" s="1" t="s">
        <v>36</v>
      </c>
      <c r="D45" s="2">
        <f>DATE(CPI_Data[[#This Row],[Year]],MATCH(CPI_Data[[#This Row],[Month]],{"January","February","March","April","May","June","July","August","September","October","November","December"},0),1)</f>
        <v>41699</v>
      </c>
      <c r="E45">
        <v>122.1</v>
      </c>
      <c r="F45">
        <v>121.4</v>
      </c>
      <c r="G45">
        <v>121.5</v>
      </c>
      <c r="H45">
        <v>116.2</v>
      </c>
      <c r="I45">
        <v>102.8</v>
      </c>
      <c r="J45">
        <v>117.7</v>
      </c>
      <c r="K45">
        <v>113.3</v>
      </c>
      <c r="L45">
        <v>108.9</v>
      </c>
      <c r="M45">
        <v>96.3</v>
      </c>
      <c r="N45">
        <v>114.1</v>
      </c>
      <c r="O45">
        <v>112.2</v>
      </c>
      <c r="P45">
        <v>120.5</v>
      </c>
      <c r="Q45">
        <v>116</v>
      </c>
      <c r="R45">
        <v>116.7</v>
      </c>
      <c r="S45">
        <v>115.8</v>
      </c>
      <c r="T45">
        <v>112.1</v>
      </c>
      <c r="U45">
        <v>115.2</v>
      </c>
      <c r="V45">
        <v>113.2</v>
      </c>
      <c r="W45">
        <v>110.9</v>
      </c>
      <c r="X45">
        <v>113</v>
      </c>
      <c r="Y45">
        <v>110.8</v>
      </c>
      <c r="Z45">
        <v>111.6</v>
      </c>
      <c r="AA45">
        <v>110.9</v>
      </c>
      <c r="AB45">
        <v>111.8</v>
      </c>
      <c r="AC45">
        <v>109.2</v>
      </c>
      <c r="AD45">
        <v>111.4</v>
      </c>
      <c r="AE45">
        <v>113.7</v>
      </c>
      <c r="AF45" t="str">
        <f>IF(AND(CPI_Data[[#This Row],[Date]]&gt;=DATE(2019,3,1),CPI_Data[[#This Row],[Date]]&lt;DATE(2020,3,1)),"Pre-COVID",IF(AND(CPI_Data[[#This Row],[Date]]&gt;=DATE(2020,3,1),CPI_Data[[#This Row],[Date]]&lt;DATE(2021,3,1)),"Post-COVID",""))</f>
        <v/>
      </c>
    </row>
    <row r="46" spans="1:32" hidden="1" x14ac:dyDescent="0.25">
      <c r="A46" t="s">
        <v>34</v>
      </c>
      <c r="B46">
        <v>2014</v>
      </c>
      <c r="C46" s="1" t="s">
        <v>36</v>
      </c>
      <c r="D46" s="2">
        <f>DATE(CPI_Data[[#This Row],[Year]],MATCH(CPI_Data[[#This Row],[Month]],{"January","February","March","April","May","June","July","August","September","October","November","December"},0),1)</f>
        <v>41699</v>
      </c>
      <c r="E46">
        <v>120.7</v>
      </c>
      <c r="F46">
        <v>119.3</v>
      </c>
      <c r="G46">
        <v>121</v>
      </c>
      <c r="H46">
        <v>116.1</v>
      </c>
      <c r="I46">
        <v>106.9</v>
      </c>
      <c r="J46">
        <v>118.7</v>
      </c>
      <c r="K46">
        <v>116.3</v>
      </c>
      <c r="L46">
        <v>109.8</v>
      </c>
      <c r="M46">
        <v>99.6</v>
      </c>
      <c r="N46">
        <v>111.8</v>
      </c>
      <c r="O46">
        <v>112.7</v>
      </c>
      <c r="P46">
        <v>119.3</v>
      </c>
      <c r="Q46">
        <v>116.1</v>
      </c>
      <c r="R46">
        <v>115.2</v>
      </c>
      <c r="S46">
        <v>116.8</v>
      </c>
      <c r="T46">
        <v>113.7</v>
      </c>
      <c r="U46">
        <v>116.4</v>
      </c>
      <c r="V46">
        <v>113.2</v>
      </c>
      <c r="W46">
        <v>112.5</v>
      </c>
      <c r="X46">
        <v>113.2</v>
      </c>
      <c r="Y46">
        <v>111.2</v>
      </c>
      <c r="Z46">
        <v>111.4</v>
      </c>
      <c r="AA46">
        <v>110.6</v>
      </c>
      <c r="AB46">
        <v>112</v>
      </c>
      <c r="AC46">
        <v>109</v>
      </c>
      <c r="AD46">
        <v>111.3</v>
      </c>
      <c r="AE46">
        <v>114.2</v>
      </c>
      <c r="AF46" t="str">
        <f>IF(AND(CPI_Data[[#This Row],[Date]]&gt;=DATE(2019,3,1),CPI_Data[[#This Row],[Date]]&lt;DATE(2020,3,1)),"Pre-COVID",IF(AND(CPI_Data[[#This Row],[Date]]&gt;=DATE(2020,3,1),CPI_Data[[#This Row],[Date]]&lt;DATE(2021,3,1)),"Post-COVID",""))</f>
        <v/>
      </c>
    </row>
    <row r="47" spans="1:32" hidden="1" x14ac:dyDescent="0.25">
      <c r="A47" t="s">
        <v>30</v>
      </c>
      <c r="B47">
        <v>2014</v>
      </c>
      <c r="C47" s="1" t="s">
        <v>37</v>
      </c>
      <c r="D47" s="2">
        <f>DATE(CPI_Data[[#This Row],[Year]],MATCH(CPI_Data[[#This Row],[Month]],{"January","February","March","April","May","June","July","August","September","October","November","December"},0),1)</f>
        <v>41730</v>
      </c>
      <c r="E47">
        <v>120.2</v>
      </c>
      <c r="F47">
        <v>118.9</v>
      </c>
      <c r="G47">
        <v>118.1</v>
      </c>
      <c r="H47">
        <v>117</v>
      </c>
      <c r="I47">
        <v>109.7</v>
      </c>
      <c r="J47">
        <v>125.5</v>
      </c>
      <c r="K47">
        <v>120.5</v>
      </c>
      <c r="L47">
        <v>111</v>
      </c>
      <c r="M47">
        <v>102.6</v>
      </c>
      <c r="N47">
        <v>111.2</v>
      </c>
      <c r="O47">
        <v>113.5</v>
      </c>
      <c r="P47">
        <v>118.7</v>
      </c>
      <c r="Q47">
        <v>117.2</v>
      </c>
      <c r="R47">
        <v>115.4</v>
      </c>
      <c r="S47">
        <v>118.1</v>
      </c>
      <c r="T47">
        <v>116.1</v>
      </c>
      <c r="U47">
        <v>117.8</v>
      </c>
      <c r="V47" t="s">
        <v>32</v>
      </c>
      <c r="W47">
        <v>113.4</v>
      </c>
      <c r="X47">
        <v>113.7</v>
      </c>
      <c r="Y47">
        <v>111.8</v>
      </c>
      <c r="Z47">
        <v>111.2</v>
      </c>
      <c r="AA47">
        <v>110.5</v>
      </c>
      <c r="AB47">
        <v>113</v>
      </c>
      <c r="AC47">
        <v>108.9</v>
      </c>
      <c r="AD47">
        <v>111.5</v>
      </c>
      <c r="AE47">
        <v>115.4</v>
      </c>
      <c r="AF47" t="str">
        <f>IF(AND(CPI_Data[[#This Row],[Date]]&gt;=DATE(2019,3,1),CPI_Data[[#This Row],[Date]]&lt;DATE(2020,3,1)),"Pre-COVID",IF(AND(CPI_Data[[#This Row],[Date]]&gt;=DATE(2020,3,1),CPI_Data[[#This Row],[Date]]&lt;DATE(2021,3,1)),"Post-COVID",""))</f>
        <v/>
      </c>
    </row>
    <row r="48" spans="1:32" hidden="1" x14ac:dyDescent="0.25">
      <c r="A48" t="s">
        <v>33</v>
      </c>
      <c r="B48">
        <v>2014</v>
      </c>
      <c r="C48" s="1" t="s">
        <v>37</v>
      </c>
      <c r="D48" s="2">
        <f>DATE(CPI_Data[[#This Row],[Year]],MATCH(CPI_Data[[#This Row],[Month]],{"January","February","March","April","May","June","July","August","September","October","November","December"},0),1)</f>
        <v>41730</v>
      </c>
      <c r="E48">
        <v>122.5</v>
      </c>
      <c r="F48">
        <v>121.7</v>
      </c>
      <c r="G48">
        <v>113.3</v>
      </c>
      <c r="H48">
        <v>117</v>
      </c>
      <c r="I48">
        <v>103.1</v>
      </c>
      <c r="J48">
        <v>126.7</v>
      </c>
      <c r="K48">
        <v>121.2</v>
      </c>
      <c r="L48">
        <v>111</v>
      </c>
      <c r="M48">
        <v>100.3</v>
      </c>
      <c r="N48">
        <v>115.3</v>
      </c>
      <c r="O48">
        <v>112.7</v>
      </c>
      <c r="P48">
        <v>121</v>
      </c>
      <c r="Q48">
        <v>118.2</v>
      </c>
      <c r="R48">
        <v>117.6</v>
      </c>
      <c r="S48">
        <v>116.3</v>
      </c>
      <c r="T48">
        <v>112.5</v>
      </c>
      <c r="U48">
        <v>115.7</v>
      </c>
      <c r="V48">
        <v>113.9</v>
      </c>
      <c r="W48">
        <v>110.9</v>
      </c>
      <c r="X48">
        <v>113.4</v>
      </c>
      <c r="Y48">
        <v>111</v>
      </c>
      <c r="Z48">
        <v>111.2</v>
      </c>
      <c r="AA48">
        <v>111.2</v>
      </c>
      <c r="AB48">
        <v>112.5</v>
      </c>
      <c r="AC48">
        <v>109.1</v>
      </c>
      <c r="AD48">
        <v>111.4</v>
      </c>
      <c r="AE48">
        <v>114.7</v>
      </c>
      <c r="AF48" t="str">
        <f>IF(AND(CPI_Data[[#This Row],[Date]]&gt;=DATE(2019,3,1),CPI_Data[[#This Row],[Date]]&lt;DATE(2020,3,1)),"Pre-COVID",IF(AND(CPI_Data[[#This Row],[Date]]&gt;=DATE(2020,3,1),CPI_Data[[#This Row],[Date]]&lt;DATE(2021,3,1)),"Post-COVID",""))</f>
        <v/>
      </c>
    </row>
    <row r="49" spans="1:32" hidden="1" x14ac:dyDescent="0.25">
      <c r="A49" t="s">
        <v>34</v>
      </c>
      <c r="B49">
        <v>2014</v>
      </c>
      <c r="C49" s="1" t="s">
        <v>37</v>
      </c>
      <c r="D49" s="2">
        <f>DATE(CPI_Data[[#This Row],[Year]],MATCH(CPI_Data[[#This Row],[Month]],{"January","February","March","April","May","June","July","August","September","October","November","December"},0),1)</f>
        <v>41730</v>
      </c>
      <c r="E49">
        <v>120.9</v>
      </c>
      <c r="F49">
        <v>119.9</v>
      </c>
      <c r="G49">
        <v>116.2</v>
      </c>
      <c r="H49">
        <v>117</v>
      </c>
      <c r="I49">
        <v>107.3</v>
      </c>
      <c r="J49">
        <v>126.1</v>
      </c>
      <c r="K49">
        <v>120.7</v>
      </c>
      <c r="L49">
        <v>111</v>
      </c>
      <c r="M49">
        <v>101.8</v>
      </c>
      <c r="N49">
        <v>112.6</v>
      </c>
      <c r="O49">
        <v>113.2</v>
      </c>
      <c r="P49">
        <v>119.8</v>
      </c>
      <c r="Q49">
        <v>117.6</v>
      </c>
      <c r="R49">
        <v>116</v>
      </c>
      <c r="S49">
        <v>117.4</v>
      </c>
      <c r="T49">
        <v>114.6</v>
      </c>
      <c r="U49">
        <v>117</v>
      </c>
      <c r="V49">
        <v>113.9</v>
      </c>
      <c r="W49">
        <v>112.5</v>
      </c>
      <c r="X49">
        <v>113.6</v>
      </c>
      <c r="Y49">
        <v>111.5</v>
      </c>
      <c r="Z49">
        <v>111.2</v>
      </c>
      <c r="AA49">
        <v>110.9</v>
      </c>
      <c r="AB49">
        <v>112.7</v>
      </c>
      <c r="AC49">
        <v>109</v>
      </c>
      <c r="AD49">
        <v>111.5</v>
      </c>
      <c r="AE49">
        <v>115.1</v>
      </c>
      <c r="AF49" t="str">
        <f>IF(AND(CPI_Data[[#This Row],[Date]]&gt;=DATE(2019,3,1),CPI_Data[[#This Row],[Date]]&lt;DATE(2020,3,1)),"Pre-COVID",IF(AND(CPI_Data[[#This Row],[Date]]&gt;=DATE(2020,3,1),CPI_Data[[#This Row],[Date]]&lt;DATE(2021,3,1)),"Post-COVID",""))</f>
        <v/>
      </c>
    </row>
    <row r="50" spans="1:32" hidden="1" x14ac:dyDescent="0.25">
      <c r="A50" t="s">
        <v>30</v>
      </c>
      <c r="B50">
        <v>2014</v>
      </c>
      <c r="C50" s="1" t="s">
        <v>38</v>
      </c>
      <c r="D50" s="2">
        <f>DATE(CPI_Data[[#This Row],[Year]],MATCH(CPI_Data[[#This Row],[Month]],{"January","February","March","April","May","June","July","August","September","October","November","December"},0),1)</f>
        <v>41760</v>
      </c>
      <c r="E50">
        <v>120.3</v>
      </c>
      <c r="F50">
        <v>120.2</v>
      </c>
      <c r="G50">
        <v>116.9</v>
      </c>
      <c r="H50">
        <v>118</v>
      </c>
      <c r="I50">
        <v>110.1</v>
      </c>
      <c r="J50">
        <v>126.3</v>
      </c>
      <c r="K50">
        <v>123.9</v>
      </c>
      <c r="L50">
        <v>111.5</v>
      </c>
      <c r="M50">
        <v>103.5</v>
      </c>
      <c r="N50">
        <v>111.6</v>
      </c>
      <c r="O50">
        <v>114.2</v>
      </c>
      <c r="P50">
        <v>119.2</v>
      </c>
      <c r="Q50">
        <v>118.2</v>
      </c>
      <c r="R50">
        <v>116.3</v>
      </c>
      <c r="S50">
        <v>118.7</v>
      </c>
      <c r="T50">
        <v>116.8</v>
      </c>
      <c r="U50">
        <v>118.5</v>
      </c>
      <c r="V50" t="s">
        <v>32</v>
      </c>
      <c r="W50">
        <v>113.4</v>
      </c>
      <c r="X50">
        <v>114.1</v>
      </c>
      <c r="Y50">
        <v>112.1</v>
      </c>
      <c r="Z50">
        <v>111.4</v>
      </c>
      <c r="AA50">
        <v>110.9</v>
      </c>
      <c r="AB50">
        <v>113.1</v>
      </c>
      <c r="AC50">
        <v>108.9</v>
      </c>
      <c r="AD50">
        <v>111.8</v>
      </c>
      <c r="AE50">
        <v>116</v>
      </c>
      <c r="AF50" t="str">
        <f>IF(AND(CPI_Data[[#This Row],[Date]]&gt;=DATE(2019,3,1),CPI_Data[[#This Row],[Date]]&lt;DATE(2020,3,1)),"Pre-COVID",IF(AND(CPI_Data[[#This Row],[Date]]&gt;=DATE(2020,3,1),CPI_Data[[#This Row],[Date]]&lt;DATE(2021,3,1)),"Post-COVID",""))</f>
        <v/>
      </c>
    </row>
    <row r="51" spans="1:32" hidden="1" x14ac:dyDescent="0.25">
      <c r="A51" t="s">
        <v>33</v>
      </c>
      <c r="B51">
        <v>2014</v>
      </c>
      <c r="C51" s="1" t="s">
        <v>38</v>
      </c>
      <c r="D51" s="2">
        <f>DATE(CPI_Data[[#This Row],[Year]],MATCH(CPI_Data[[#This Row],[Month]],{"January","February","March","April","May","June","July","August","September","October","November","December"},0),1)</f>
        <v>41760</v>
      </c>
      <c r="E51">
        <v>122.7</v>
      </c>
      <c r="F51">
        <v>124.1</v>
      </c>
      <c r="G51">
        <v>114.2</v>
      </c>
      <c r="H51">
        <v>119.1</v>
      </c>
      <c r="I51">
        <v>103.5</v>
      </c>
      <c r="J51">
        <v>129.19999999999999</v>
      </c>
      <c r="K51">
        <v>127</v>
      </c>
      <c r="L51">
        <v>112.6</v>
      </c>
      <c r="M51">
        <v>101.3</v>
      </c>
      <c r="N51">
        <v>117</v>
      </c>
      <c r="O51">
        <v>112.9</v>
      </c>
      <c r="P51">
        <v>121.7</v>
      </c>
      <c r="Q51">
        <v>120</v>
      </c>
      <c r="R51">
        <v>118.3</v>
      </c>
      <c r="S51">
        <v>116.8</v>
      </c>
      <c r="T51">
        <v>112.9</v>
      </c>
      <c r="U51">
        <v>116.2</v>
      </c>
      <c r="V51">
        <v>114.3</v>
      </c>
      <c r="W51">
        <v>111.1</v>
      </c>
      <c r="X51">
        <v>114.1</v>
      </c>
      <c r="Y51">
        <v>111.2</v>
      </c>
      <c r="Z51">
        <v>111.3</v>
      </c>
      <c r="AA51">
        <v>111.5</v>
      </c>
      <c r="AB51">
        <v>112.9</v>
      </c>
      <c r="AC51">
        <v>109.3</v>
      </c>
      <c r="AD51">
        <v>111.7</v>
      </c>
      <c r="AE51">
        <v>115.6</v>
      </c>
      <c r="AF51" t="str">
        <f>IF(AND(CPI_Data[[#This Row],[Date]]&gt;=DATE(2019,3,1),CPI_Data[[#This Row],[Date]]&lt;DATE(2020,3,1)),"Pre-COVID",IF(AND(CPI_Data[[#This Row],[Date]]&gt;=DATE(2020,3,1),CPI_Data[[#This Row],[Date]]&lt;DATE(2021,3,1)),"Post-COVID",""))</f>
        <v/>
      </c>
    </row>
    <row r="52" spans="1:32" hidden="1" x14ac:dyDescent="0.25">
      <c r="A52" t="s">
        <v>34</v>
      </c>
      <c r="B52">
        <v>2014</v>
      </c>
      <c r="C52" s="1" t="s">
        <v>38</v>
      </c>
      <c r="D52" s="2">
        <f>DATE(CPI_Data[[#This Row],[Year]],MATCH(CPI_Data[[#This Row],[Month]],{"January","February","March","April","May","June","July","August","September","October","November","December"},0),1)</f>
        <v>41760</v>
      </c>
      <c r="E52">
        <v>121.1</v>
      </c>
      <c r="F52">
        <v>121.6</v>
      </c>
      <c r="G52">
        <v>115.9</v>
      </c>
      <c r="H52">
        <v>118.4</v>
      </c>
      <c r="I52">
        <v>107.7</v>
      </c>
      <c r="J52">
        <v>127.7</v>
      </c>
      <c r="K52">
        <v>125</v>
      </c>
      <c r="L52">
        <v>111.9</v>
      </c>
      <c r="M52">
        <v>102.8</v>
      </c>
      <c r="N52">
        <v>113.4</v>
      </c>
      <c r="O52">
        <v>113.7</v>
      </c>
      <c r="P52">
        <v>120.4</v>
      </c>
      <c r="Q52">
        <v>118.9</v>
      </c>
      <c r="R52">
        <v>116.8</v>
      </c>
      <c r="S52">
        <v>118</v>
      </c>
      <c r="T52">
        <v>115.2</v>
      </c>
      <c r="U52">
        <v>117.6</v>
      </c>
      <c r="V52">
        <v>114.3</v>
      </c>
      <c r="W52">
        <v>112.5</v>
      </c>
      <c r="X52">
        <v>114.1</v>
      </c>
      <c r="Y52">
        <v>111.8</v>
      </c>
      <c r="Z52">
        <v>111.3</v>
      </c>
      <c r="AA52">
        <v>111.2</v>
      </c>
      <c r="AB52">
        <v>113</v>
      </c>
      <c r="AC52">
        <v>109.1</v>
      </c>
      <c r="AD52">
        <v>111.8</v>
      </c>
      <c r="AE52">
        <v>115.8</v>
      </c>
      <c r="AF52" t="str">
        <f>IF(AND(CPI_Data[[#This Row],[Date]]&gt;=DATE(2019,3,1),CPI_Data[[#This Row],[Date]]&lt;DATE(2020,3,1)),"Pre-COVID",IF(AND(CPI_Data[[#This Row],[Date]]&gt;=DATE(2020,3,1),CPI_Data[[#This Row],[Date]]&lt;DATE(2021,3,1)),"Post-COVID",""))</f>
        <v/>
      </c>
    </row>
    <row r="53" spans="1:32" hidden="1" x14ac:dyDescent="0.25">
      <c r="A53" t="s">
        <v>30</v>
      </c>
      <c r="B53">
        <v>2014</v>
      </c>
      <c r="C53" s="1" t="s">
        <v>39</v>
      </c>
      <c r="D53" s="2">
        <f>DATE(CPI_Data[[#This Row],[Year]],MATCH(CPI_Data[[#This Row],[Month]],{"January","February","March","April","May","June","July","August","September","October","November","December"},0),1)</f>
        <v>41791</v>
      </c>
      <c r="E53">
        <v>120.7</v>
      </c>
      <c r="F53">
        <v>121.6</v>
      </c>
      <c r="G53">
        <v>116.1</v>
      </c>
      <c r="H53">
        <v>119.3</v>
      </c>
      <c r="I53">
        <v>110.3</v>
      </c>
      <c r="J53">
        <v>125.8</v>
      </c>
      <c r="K53">
        <v>129.30000000000001</v>
      </c>
      <c r="L53">
        <v>112.2</v>
      </c>
      <c r="M53">
        <v>103.6</v>
      </c>
      <c r="N53">
        <v>112.3</v>
      </c>
      <c r="O53">
        <v>114.9</v>
      </c>
      <c r="P53">
        <v>120.1</v>
      </c>
      <c r="Q53">
        <v>119.5</v>
      </c>
      <c r="R53">
        <v>117.3</v>
      </c>
      <c r="S53">
        <v>119.7</v>
      </c>
      <c r="T53">
        <v>117.3</v>
      </c>
      <c r="U53">
        <v>119.3</v>
      </c>
      <c r="V53" t="s">
        <v>32</v>
      </c>
      <c r="W53">
        <v>114.4</v>
      </c>
      <c r="X53">
        <v>114.9</v>
      </c>
      <c r="Y53">
        <v>112.8</v>
      </c>
      <c r="Z53">
        <v>112.2</v>
      </c>
      <c r="AA53">
        <v>111.4</v>
      </c>
      <c r="AB53">
        <v>114.3</v>
      </c>
      <c r="AC53">
        <v>108</v>
      </c>
      <c r="AD53">
        <v>112.3</v>
      </c>
      <c r="AE53">
        <v>117</v>
      </c>
      <c r="AF53" t="str">
        <f>IF(AND(CPI_Data[[#This Row],[Date]]&gt;=DATE(2019,3,1),CPI_Data[[#This Row],[Date]]&lt;DATE(2020,3,1)),"Pre-COVID",IF(AND(CPI_Data[[#This Row],[Date]]&gt;=DATE(2020,3,1),CPI_Data[[#This Row],[Date]]&lt;DATE(2021,3,1)),"Post-COVID",""))</f>
        <v/>
      </c>
    </row>
    <row r="54" spans="1:32" hidden="1" x14ac:dyDescent="0.25">
      <c r="A54" t="s">
        <v>33</v>
      </c>
      <c r="B54">
        <v>2014</v>
      </c>
      <c r="C54" s="1" t="s">
        <v>39</v>
      </c>
      <c r="D54" s="2">
        <f>DATE(CPI_Data[[#This Row],[Year]],MATCH(CPI_Data[[#This Row],[Month]],{"January","February","March","April","May","June","July","August","September","October","November","December"},0),1)</f>
        <v>41791</v>
      </c>
      <c r="E54">
        <v>123.1</v>
      </c>
      <c r="F54">
        <v>125.9</v>
      </c>
      <c r="G54">
        <v>115.4</v>
      </c>
      <c r="H54">
        <v>120.4</v>
      </c>
      <c r="I54">
        <v>103.4</v>
      </c>
      <c r="J54">
        <v>131.19999999999999</v>
      </c>
      <c r="K54">
        <v>137.5</v>
      </c>
      <c r="L54">
        <v>112.8</v>
      </c>
      <c r="M54">
        <v>101.4</v>
      </c>
      <c r="N54">
        <v>118.3</v>
      </c>
      <c r="O54">
        <v>113.2</v>
      </c>
      <c r="P54">
        <v>122.4</v>
      </c>
      <c r="Q54">
        <v>122</v>
      </c>
      <c r="R54">
        <v>119</v>
      </c>
      <c r="S54">
        <v>117.4</v>
      </c>
      <c r="T54">
        <v>113.2</v>
      </c>
      <c r="U54">
        <v>116.7</v>
      </c>
      <c r="V54">
        <v>113.9</v>
      </c>
      <c r="W54">
        <v>111.2</v>
      </c>
      <c r="X54">
        <v>114.3</v>
      </c>
      <c r="Y54">
        <v>111.4</v>
      </c>
      <c r="Z54">
        <v>111.5</v>
      </c>
      <c r="AA54">
        <v>111.8</v>
      </c>
      <c r="AB54">
        <v>115.1</v>
      </c>
      <c r="AC54">
        <v>108.7</v>
      </c>
      <c r="AD54">
        <v>112.2</v>
      </c>
      <c r="AE54">
        <v>116.4</v>
      </c>
      <c r="AF54" t="str">
        <f>IF(AND(CPI_Data[[#This Row],[Date]]&gt;=DATE(2019,3,1),CPI_Data[[#This Row],[Date]]&lt;DATE(2020,3,1)),"Pre-COVID",IF(AND(CPI_Data[[#This Row],[Date]]&gt;=DATE(2020,3,1),CPI_Data[[#This Row],[Date]]&lt;DATE(2021,3,1)),"Post-COVID",""))</f>
        <v/>
      </c>
    </row>
    <row r="55" spans="1:32" hidden="1" x14ac:dyDescent="0.25">
      <c r="A55" t="s">
        <v>34</v>
      </c>
      <c r="B55">
        <v>2014</v>
      </c>
      <c r="C55" s="1" t="s">
        <v>39</v>
      </c>
      <c r="D55" s="2">
        <f>DATE(CPI_Data[[#This Row],[Year]],MATCH(CPI_Data[[#This Row],[Month]],{"January","February","March","April","May","June","July","August","September","October","November","December"},0),1)</f>
        <v>41791</v>
      </c>
      <c r="E55">
        <v>121.5</v>
      </c>
      <c r="F55">
        <v>123.1</v>
      </c>
      <c r="G55">
        <v>115.8</v>
      </c>
      <c r="H55">
        <v>119.7</v>
      </c>
      <c r="I55">
        <v>107.8</v>
      </c>
      <c r="J55">
        <v>128.30000000000001</v>
      </c>
      <c r="K55">
        <v>132.1</v>
      </c>
      <c r="L55">
        <v>112.4</v>
      </c>
      <c r="M55">
        <v>102.9</v>
      </c>
      <c r="N55">
        <v>114.3</v>
      </c>
      <c r="O55">
        <v>114.2</v>
      </c>
      <c r="P55">
        <v>121.2</v>
      </c>
      <c r="Q55">
        <v>120.4</v>
      </c>
      <c r="R55">
        <v>117.8</v>
      </c>
      <c r="S55">
        <v>118.8</v>
      </c>
      <c r="T55">
        <v>115.6</v>
      </c>
      <c r="U55">
        <v>118.3</v>
      </c>
      <c r="V55">
        <v>113.9</v>
      </c>
      <c r="W55">
        <v>113.2</v>
      </c>
      <c r="X55">
        <v>114.6</v>
      </c>
      <c r="Y55">
        <v>112.3</v>
      </c>
      <c r="Z55">
        <v>111.8</v>
      </c>
      <c r="AA55">
        <v>111.6</v>
      </c>
      <c r="AB55">
        <v>114.8</v>
      </c>
      <c r="AC55">
        <v>108.3</v>
      </c>
      <c r="AD55">
        <v>112.3</v>
      </c>
      <c r="AE55">
        <v>116.7</v>
      </c>
      <c r="AF55" t="str">
        <f>IF(AND(CPI_Data[[#This Row],[Date]]&gt;=DATE(2019,3,1),CPI_Data[[#This Row],[Date]]&lt;DATE(2020,3,1)),"Pre-COVID",IF(AND(CPI_Data[[#This Row],[Date]]&gt;=DATE(2020,3,1),CPI_Data[[#This Row],[Date]]&lt;DATE(2021,3,1)),"Post-COVID",""))</f>
        <v/>
      </c>
    </row>
    <row r="56" spans="1:32" hidden="1" x14ac:dyDescent="0.25">
      <c r="A56" t="s">
        <v>30</v>
      </c>
      <c r="B56">
        <v>2014</v>
      </c>
      <c r="C56" s="1" t="s">
        <v>40</v>
      </c>
      <c r="D56" s="2">
        <f>DATE(CPI_Data[[#This Row],[Year]],MATCH(CPI_Data[[#This Row],[Month]],{"January","February","March","April","May","June","July","August","September","October","November","December"},0),1)</f>
        <v>41821</v>
      </c>
      <c r="E56">
        <v>121.7</v>
      </c>
      <c r="F56">
        <v>122.5</v>
      </c>
      <c r="G56">
        <v>117.7</v>
      </c>
      <c r="H56">
        <v>120.6</v>
      </c>
      <c r="I56">
        <v>110.4</v>
      </c>
      <c r="J56">
        <v>129.1</v>
      </c>
      <c r="K56">
        <v>150.1</v>
      </c>
      <c r="L56">
        <v>113.2</v>
      </c>
      <c r="M56">
        <v>104.8</v>
      </c>
      <c r="N56">
        <v>113.3</v>
      </c>
      <c r="O56">
        <v>115.6</v>
      </c>
      <c r="P56">
        <v>120.9</v>
      </c>
      <c r="Q56">
        <v>123.3</v>
      </c>
      <c r="R56">
        <v>118</v>
      </c>
      <c r="S56">
        <v>120.7</v>
      </c>
      <c r="T56">
        <v>118.3</v>
      </c>
      <c r="U56">
        <v>120.3</v>
      </c>
      <c r="V56" t="s">
        <v>32</v>
      </c>
      <c r="W56">
        <v>115.3</v>
      </c>
      <c r="X56">
        <v>115.4</v>
      </c>
      <c r="Y56">
        <v>113.4</v>
      </c>
      <c r="Z56">
        <v>113.2</v>
      </c>
      <c r="AA56">
        <v>111.8</v>
      </c>
      <c r="AB56">
        <v>115.5</v>
      </c>
      <c r="AC56">
        <v>108.8</v>
      </c>
      <c r="AD56">
        <v>113.1</v>
      </c>
      <c r="AE56">
        <v>119.5</v>
      </c>
      <c r="AF56" t="str">
        <f>IF(AND(CPI_Data[[#This Row],[Date]]&gt;=DATE(2019,3,1),CPI_Data[[#This Row],[Date]]&lt;DATE(2020,3,1)),"Pre-COVID",IF(AND(CPI_Data[[#This Row],[Date]]&gt;=DATE(2020,3,1),CPI_Data[[#This Row],[Date]]&lt;DATE(2021,3,1)),"Post-COVID",""))</f>
        <v/>
      </c>
    </row>
    <row r="57" spans="1:32" hidden="1" x14ac:dyDescent="0.25">
      <c r="A57" t="s">
        <v>33</v>
      </c>
      <c r="B57">
        <v>2014</v>
      </c>
      <c r="C57" s="1" t="s">
        <v>40</v>
      </c>
      <c r="D57" s="2">
        <f>DATE(CPI_Data[[#This Row],[Year]],MATCH(CPI_Data[[#This Row],[Month]],{"January","February","March","April","May","June","July","August","September","October","November","December"},0),1)</f>
        <v>41821</v>
      </c>
      <c r="E57">
        <v>123.8</v>
      </c>
      <c r="F57">
        <v>126.4</v>
      </c>
      <c r="G57">
        <v>118</v>
      </c>
      <c r="H57">
        <v>121.6</v>
      </c>
      <c r="I57">
        <v>103.5</v>
      </c>
      <c r="J57">
        <v>133.69999999999999</v>
      </c>
      <c r="K57">
        <v>172.4</v>
      </c>
      <c r="L57">
        <v>113.1</v>
      </c>
      <c r="M57">
        <v>102.7</v>
      </c>
      <c r="N57">
        <v>120</v>
      </c>
      <c r="O57">
        <v>113.8</v>
      </c>
      <c r="P57">
        <v>123.4</v>
      </c>
      <c r="Q57">
        <v>127.1</v>
      </c>
      <c r="R57">
        <v>121</v>
      </c>
      <c r="S57">
        <v>118</v>
      </c>
      <c r="T57">
        <v>113.6</v>
      </c>
      <c r="U57">
        <v>117.4</v>
      </c>
      <c r="V57">
        <v>114.8</v>
      </c>
      <c r="W57">
        <v>111.6</v>
      </c>
      <c r="X57">
        <v>114.9</v>
      </c>
      <c r="Y57">
        <v>111.5</v>
      </c>
      <c r="Z57">
        <v>113</v>
      </c>
      <c r="AA57">
        <v>112.4</v>
      </c>
      <c r="AB57">
        <v>117.8</v>
      </c>
      <c r="AC57">
        <v>109.7</v>
      </c>
      <c r="AD57">
        <v>113.5</v>
      </c>
      <c r="AE57">
        <v>118.9</v>
      </c>
      <c r="AF57" t="str">
        <f>IF(AND(CPI_Data[[#This Row],[Date]]&gt;=DATE(2019,3,1),CPI_Data[[#This Row],[Date]]&lt;DATE(2020,3,1)),"Pre-COVID",IF(AND(CPI_Data[[#This Row],[Date]]&gt;=DATE(2020,3,1),CPI_Data[[#This Row],[Date]]&lt;DATE(2021,3,1)),"Post-COVID",""))</f>
        <v/>
      </c>
    </row>
    <row r="58" spans="1:32" hidden="1" x14ac:dyDescent="0.25">
      <c r="A58" t="s">
        <v>34</v>
      </c>
      <c r="B58">
        <v>2014</v>
      </c>
      <c r="C58" s="1" t="s">
        <v>40</v>
      </c>
      <c r="D58" s="2">
        <f>DATE(CPI_Data[[#This Row],[Year]],MATCH(CPI_Data[[#This Row],[Month]],{"January","February","March","April","May","June","July","August","September","October","November","December"},0),1)</f>
        <v>41821</v>
      </c>
      <c r="E58">
        <v>122.4</v>
      </c>
      <c r="F58">
        <v>123.9</v>
      </c>
      <c r="G58">
        <v>117.8</v>
      </c>
      <c r="H58">
        <v>121</v>
      </c>
      <c r="I58">
        <v>107.9</v>
      </c>
      <c r="J58">
        <v>131.19999999999999</v>
      </c>
      <c r="K58">
        <v>157.69999999999999</v>
      </c>
      <c r="L58">
        <v>113.2</v>
      </c>
      <c r="M58">
        <v>104.1</v>
      </c>
      <c r="N58">
        <v>115.5</v>
      </c>
      <c r="O58">
        <v>114.8</v>
      </c>
      <c r="P58">
        <v>122.1</v>
      </c>
      <c r="Q58">
        <v>124.7</v>
      </c>
      <c r="R58">
        <v>118.8</v>
      </c>
      <c r="S58">
        <v>119.6</v>
      </c>
      <c r="T58">
        <v>116.3</v>
      </c>
      <c r="U58">
        <v>119.1</v>
      </c>
      <c r="V58">
        <v>114.8</v>
      </c>
      <c r="W58">
        <v>113.9</v>
      </c>
      <c r="X58">
        <v>115.2</v>
      </c>
      <c r="Y58">
        <v>112.7</v>
      </c>
      <c r="Z58">
        <v>113.1</v>
      </c>
      <c r="AA58">
        <v>112.1</v>
      </c>
      <c r="AB58">
        <v>116.8</v>
      </c>
      <c r="AC58">
        <v>109.2</v>
      </c>
      <c r="AD58">
        <v>113.3</v>
      </c>
      <c r="AE58">
        <v>119.2</v>
      </c>
      <c r="AF58" t="str">
        <f>IF(AND(CPI_Data[[#This Row],[Date]]&gt;=DATE(2019,3,1),CPI_Data[[#This Row],[Date]]&lt;DATE(2020,3,1)),"Pre-COVID",IF(AND(CPI_Data[[#This Row],[Date]]&gt;=DATE(2020,3,1),CPI_Data[[#This Row],[Date]]&lt;DATE(2021,3,1)),"Post-COVID",""))</f>
        <v/>
      </c>
    </row>
    <row r="59" spans="1:32" hidden="1" x14ac:dyDescent="0.25">
      <c r="A59" t="s">
        <v>30</v>
      </c>
      <c r="B59">
        <v>2014</v>
      </c>
      <c r="C59" s="1" t="s">
        <v>41</v>
      </c>
      <c r="D59" s="2">
        <f>DATE(CPI_Data[[#This Row],[Year]],MATCH(CPI_Data[[#This Row],[Month]],{"January","February","March","April","May","June","July","August","September","October","November","December"},0),1)</f>
        <v>41852</v>
      </c>
      <c r="E59">
        <v>121.8</v>
      </c>
      <c r="F59">
        <v>122.8</v>
      </c>
      <c r="G59">
        <v>117.8</v>
      </c>
      <c r="H59">
        <v>121.9</v>
      </c>
      <c r="I59">
        <v>110.6</v>
      </c>
      <c r="J59">
        <v>129.69999999999999</v>
      </c>
      <c r="K59">
        <v>161.1</v>
      </c>
      <c r="L59">
        <v>114.1</v>
      </c>
      <c r="M59">
        <v>105.1</v>
      </c>
      <c r="N59">
        <v>114.6</v>
      </c>
      <c r="O59">
        <v>115.8</v>
      </c>
      <c r="P59">
        <v>121.7</v>
      </c>
      <c r="Q59">
        <v>125.3</v>
      </c>
      <c r="R59">
        <v>118.8</v>
      </c>
      <c r="S59">
        <v>120.9</v>
      </c>
      <c r="T59">
        <v>118.8</v>
      </c>
      <c r="U59">
        <v>120.7</v>
      </c>
      <c r="V59" t="s">
        <v>32</v>
      </c>
      <c r="W59">
        <v>115.4</v>
      </c>
      <c r="X59">
        <v>115.9</v>
      </c>
      <c r="Y59">
        <v>114</v>
      </c>
      <c r="Z59">
        <v>113.2</v>
      </c>
      <c r="AA59">
        <v>112.2</v>
      </c>
      <c r="AB59">
        <v>116.2</v>
      </c>
      <c r="AC59">
        <v>109.4</v>
      </c>
      <c r="AD59">
        <v>113.5</v>
      </c>
      <c r="AE59">
        <v>120.7</v>
      </c>
      <c r="AF59" t="str">
        <f>IF(AND(CPI_Data[[#This Row],[Date]]&gt;=DATE(2019,3,1),CPI_Data[[#This Row],[Date]]&lt;DATE(2020,3,1)),"Pre-COVID",IF(AND(CPI_Data[[#This Row],[Date]]&gt;=DATE(2020,3,1),CPI_Data[[#This Row],[Date]]&lt;DATE(2021,3,1)),"Post-COVID",""))</f>
        <v/>
      </c>
    </row>
    <row r="60" spans="1:32" hidden="1" x14ac:dyDescent="0.25">
      <c r="A60" t="s">
        <v>33</v>
      </c>
      <c r="B60">
        <v>2014</v>
      </c>
      <c r="C60" s="1" t="s">
        <v>41</v>
      </c>
      <c r="D60" s="2">
        <f>DATE(CPI_Data[[#This Row],[Year]],MATCH(CPI_Data[[#This Row],[Month]],{"January","February","March","April","May","June","July","August","September","October","November","December"},0),1)</f>
        <v>41852</v>
      </c>
      <c r="E60">
        <v>124.8</v>
      </c>
      <c r="F60">
        <v>127.3</v>
      </c>
      <c r="G60">
        <v>116.5</v>
      </c>
      <c r="H60">
        <v>122.2</v>
      </c>
      <c r="I60">
        <v>103.6</v>
      </c>
      <c r="J60">
        <v>132.69999999999999</v>
      </c>
      <c r="K60">
        <v>181.9</v>
      </c>
      <c r="L60">
        <v>115.2</v>
      </c>
      <c r="M60">
        <v>102.7</v>
      </c>
      <c r="N60">
        <v>122.1</v>
      </c>
      <c r="O60">
        <v>114.4</v>
      </c>
      <c r="P60">
        <v>124.7</v>
      </c>
      <c r="Q60">
        <v>128.9</v>
      </c>
      <c r="R60">
        <v>123</v>
      </c>
      <c r="S60">
        <v>118.6</v>
      </c>
      <c r="T60">
        <v>114.1</v>
      </c>
      <c r="U60">
        <v>117.9</v>
      </c>
      <c r="V60">
        <v>115.5</v>
      </c>
      <c r="W60">
        <v>111.8</v>
      </c>
      <c r="X60">
        <v>115.3</v>
      </c>
      <c r="Y60">
        <v>112.2</v>
      </c>
      <c r="Z60">
        <v>112.5</v>
      </c>
      <c r="AA60">
        <v>112.9</v>
      </c>
      <c r="AB60">
        <v>119.2</v>
      </c>
      <c r="AC60">
        <v>110.5</v>
      </c>
      <c r="AD60">
        <v>113.9</v>
      </c>
      <c r="AE60">
        <v>119.9</v>
      </c>
      <c r="AF60" t="str">
        <f>IF(AND(CPI_Data[[#This Row],[Date]]&gt;=DATE(2019,3,1),CPI_Data[[#This Row],[Date]]&lt;DATE(2020,3,1)),"Pre-COVID",IF(AND(CPI_Data[[#This Row],[Date]]&gt;=DATE(2020,3,1),CPI_Data[[#This Row],[Date]]&lt;DATE(2021,3,1)),"Post-COVID",""))</f>
        <v/>
      </c>
    </row>
    <row r="61" spans="1:32" hidden="1" x14ac:dyDescent="0.25">
      <c r="A61" t="s">
        <v>34</v>
      </c>
      <c r="B61">
        <v>2014</v>
      </c>
      <c r="C61" s="1" t="s">
        <v>41</v>
      </c>
      <c r="D61" s="2">
        <f>DATE(CPI_Data[[#This Row],[Year]],MATCH(CPI_Data[[#This Row],[Month]],{"January","February","March","April","May","June","July","August","September","October","November","December"},0),1)</f>
        <v>41852</v>
      </c>
      <c r="E61">
        <v>122.7</v>
      </c>
      <c r="F61">
        <v>124.4</v>
      </c>
      <c r="G61">
        <v>117.3</v>
      </c>
      <c r="H61">
        <v>122</v>
      </c>
      <c r="I61">
        <v>108</v>
      </c>
      <c r="J61">
        <v>131.1</v>
      </c>
      <c r="K61">
        <v>168.2</v>
      </c>
      <c r="L61">
        <v>114.5</v>
      </c>
      <c r="M61">
        <v>104.3</v>
      </c>
      <c r="N61">
        <v>117.1</v>
      </c>
      <c r="O61">
        <v>115.2</v>
      </c>
      <c r="P61">
        <v>123.1</v>
      </c>
      <c r="Q61">
        <v>126.6</v>
      </c>
      <c r="R61">
        <v>119.9</v>
      </c>
      <c r="S61">
        <v>120</v>
      </c>
      <c r="T61">
        <v>116.8</v>
      </c>
      <c r="U61">
        <v>119.6</v>
      </c>
      <c r="V61">
        <v>115.5</v>
      </c>
      <c r="W61">
        <v>114</v>
      </c>
      <c r="X61">
        <v>115.6</v>
      </c>
      <c r="Y61">
        <v>113.3</v>
      </c>
      <c r="Z61">
        <v>112.8</v>
      </c>
      <c r="AA61">
        <v>112.6</v>
      </c>
      <c r="AB61">
        <v>118</v>
      </c>
      <c r="AC61">
        <v>109.9</v>
      </c>
      <c r="AD61">
        <v>113.7</v>
      </c>
      <c r="AE61">
        <v>120.3</v>
      </c>
      <c r="AF61" t="str">
        <f>IF(AND(CPI_Data[[#This Row],[Date]]&gt;=DATE(2019,3,1),CPI_Data[[#This Row],[Date]]&lt;DATE(2020,3,1)),"Pre-COVID",IF(AND(CPI_Data[[#This Row],[Date]]&gt;=DATE(2020,3,1),CPI_Data[[#This Row],[Date]]&lt;DATE(2021,3,1)),"Post-COVID",""))</f>
        <v/>
      </c>
    </row>
    <row r="62" spans="1:32" hidden="1" x14ac:dyDescent="0.25">
      <c r="A62" t="s">
        <v>30</v>
      </c>
      <c r="B62">
        <v>2014</v>
      </c>
      <c r="C62" s="1" t="s">
        <v>42</v>
      </c>
      <c r="D62" s="2">
        <f>DATE(CPI_Data[[#This Row],[Year]],MATCH(CPI_Data[[#This Row],[Month]],{"January","February","March","April","May","June","July","August","September","October","November","December"},0),1)</f>
        <v>41883</v>
      </c>
      <c r="E62">
        <v>122.3</v>
      </c>
      <c r="F62">
        <v>122.4</v>
      </c>
      <c r="G62">
        <v>117.8</v>
      </c>
      <c r="H62">
        <v>122.7</v>
      </c>
      <c r="I62">
        <v>110.4</v>
      </c>
      <c r="J62">
        <v>129.80000000000001</v>
      </c>
      <c r="K62">
        <v>158.80000000000001</v>
      </c>
      <c r="L62">
        <v>115</v>
      </c>
      <c r="M62">
        <v>104.7</v>
      </c>
      <c r="N62">
        <v>114.9</v>
      </c>
      <c r="O62">
        <v>116.5</v>
      </c>
      <c r="P62">
        <v>122.6</v>
      </c>
      <c r="Q62">
        <v>125.3</v>
      </c>
      <c r="R62">
        <v>119.5</v>
      </c>
      <c r="S62">
        <v>121.7</v>
      </c>
      <c r="T62">
        <v>119.2</v>
      </c>
      <c r="U62">
        <v>121.3</v>
      </c>
      <c r="V62" t="s">
        <v>32</v>
      </c>
      <c r="W62">
        <v>115.8</v>
      </c>
      <c r="X62">
        <v>116.7</v>
      </c>
      <c r="Y62">
        <v>114.5</v>
      </c>
      <c r="Z62">
        <v>112.8</v>
      </c>
      <c r="AA62">
        <v>112.6</v>
      </c>
      <c r="AB62">
        <v>116.6</v>
      </c>
      <c r="AC62">
        <v>109.1</v>
      </c>
      <c r="AD62">
        <v>113.7</v>
      </c>
      <c r="AE62">
        <v>120.9</v>
      </c>
      <c r="AF62" t="str">
        <f>IF(AND(CPI_Data[[#This Row],[Date]]&gt;=DATE(2019,3,1),CPI_Data[[#This Row],[Date]]&lt;DATE(2020,3,1)),"Pre-COVID",IF(AND(CPI_Data[[#This Row],[Date]]&gt;=DATE(2020,3,1),CPI_Data[[#This Row],[Date]]&lt;DATE(2021,3,1)),"Post-COVID",""))</f>
        <v/>
      </c>
    </row>
    <row r="63" spans="1:32" hidden="1" x14ac:dyDescent="0.25">
      <c r="A63" t="s">
        <v>33</v>
      </c>
      <c r="B63">
        <v>2014</v>
      </c>
      <c r="C63" s="1" t="s">
        <v>42</v>
      </c>
      <c r="D63" s="2">
        <f>DATE(CPI_Data[[#This Row],[Year]],MATCH(CPI_Data[[#This Row],[Month]],{"January","February","March","April","May","June","July","August","September","October","November","December"},0),1)</f>
        <v>41883</v>
      </c>
      <c r="E63">
        <v>124.2</v>
      </c>
      <c r="F63">
        <v>125.4</v>
      </c>
      <c r="G63">
        <v>116.4</v>
      </c>
      <c r="H63">
        <v>122.7</v>
      </c>
      <c r="I63">
        <v>103.5</v>
      </c>
      <c r="J63">
        <v>124.5</v>
      </c>
      <c r="K63">
        <v>168.6</v>
      </c>
      <c r="L63">
        <v>116.9</v>
      </c>
      <c r="M63">
        <v>101.9</v>
      </c>
      <c r="N63">
        <v>122.9</v>
      </c>
      <c r="O63">
        <v>114.8</v>
      </c>
      <c r="P63">
        <v>125.2</v>
      </c>
      <c r="Q63">
        <v>126.7</v>
      </c>
      <c r="R63">
        <v>124.3</v>
      </c>
      <c r="S63">
        <v>119.2</v>
      </c>
      <c r="T63">
        <v>114.5</v>
      </c>
      <c r="U63">
        <v>118.4</v>
      </c>
      <c r="V63">
        <v>116.1</v>
      </c>
      <c r="W63">
        <v>111.8</v>
      </c>
      <c r="X63">
        <v>115.5</v>
      </c>
      <c r="Y63">
        <v>112.3</v>
      </c>
      <c r="Z63">
        <v>111.2</v>
      </c>
      <c r="AA63">
        <v>113.4</v>
      </c>
      <c r="AB63">
        <v>120</v>
      </c>
      <c r="AC63">
        <v>110</v>
      </c>
      <c r="AD63">
        <v>113.6</v>
      </c>
      <c r="AE63">
        <v>119.2</v>
      </c>
      <c r="AF63" t="str">
        <f>IF(AND(CPI_Data[[#This Row],[Date]]&gt;=DATE(2019,3,1),CPI_Data[[#This Row],[Date]]&lt;DATE(2020,3,1)),"Pre-COVID",IF(AND(CPI_Data[[#This Row],[Date]]&gt;=DATE(2020,3,1),CPI_Data[[#This Row],[Date]]&lt;DATE(2021,3,1)),"Post-COVID",""))</f>
        <v/>
      </c>
    </row>
    <row r="64" spans="1:32" hidden="1" x14ac:dyDescent="0.25">
      <c r="A64" t="s">
        <v>34</v>
      </c>
      <c r="B64">
        <v>2014</v>
      </c>
      <c r="C64" s="1" t="s">
        <v>42</v>
      </c>
      <c r="D64" s="2">
        <f>DATE(CPI_Data[[#This Row],[Year]],MATCH(CPI_Data[[#This Row],[Month]],{"January","February","March","April","May","June","July","August","September","October","November","December"},0),1)</f>
        <v>41883</v>
      </c>
      <c r="E64">
        <v>122.9</v>
      </c>
      <c r="F64">
        <v>123.5</v>
      </c>
      <c r="G64">
        <v>117.3</v>
      </c>
      <c r="H64">
        <v>122.7</v>
      </c>
      <c r="I64">
        <v>107.9</v>
      </c>
      <c r="J64">
        <v>127.3</v>
      </c>
      <c r="K64">
        <v>162.1</v>
      </c>
      <c r="L64">
        <v>115.6</v>
      </c>
      <c r="M64">
        <v>103.8</v>
      </c>
      <c r="N64">
        <v>117.6</v>
      </c>
      <c r="O64">
        <v>115.8</v>
      </c>
      <c r="P64">
        <v>123.8</v>
      </c>
      <c r="Q64">
        <v>125.8</v>
      </c>
      <c r="R64">
        <v>120.8</v>
      </c>
      <c r="S64">
        <v>120.7</v>
      </c>
      <c r="T64">
        <v>117.2</v>
      </c>
      <c r="U64">
        <v>120.1</v>
      </c>
      <c r="V64">
        <v>116.1</v>
      </c>
      <c r="W64">
        <v>114.3</v>
      </c>
      <c r="X64">
        <v>116.1</v>
      </c>
      <c r="Y64">
        <v>113.7</v>
      </c>
      <c r="Z64">
        <v>112</v>
      </c>
      <c r="AA64">
        <v>113.1</v>
      </c>
      <c r="AB64">
        <v>118.6</v>
      </c>
      <c r="AC64">
        <v>109.5</v>
      </c>
      <c r="AD64">
        <v>113.7</v>
      </c>
      <c r="AE64">
        <v>120.1</v>
      </c>
      <c r="AF64" t="str">
        <f>IF(AND(CPI_Data[[#This Row],[Date]]&gt;=DATE(2019,3,1),CPI_Data[[#This Row],[Date]]&lt;DATE(2020,3,1)),"Pre-COVID",IF(AND(CPI_Data[[#This Row],[Date]]&gt;=DATE(2020,3,1),CPI_Data[[#This Row],[Date]]&lt;DATE(2021,3,1)),"Post-COVID",""))</f>
        <v/>
      </c>
    </row>
    <row r="65" spans="1:32" hidden="1" x14ac:dyDescent="0.25">
      <c r="A65" t="s">
        <v>30</v>
      </c>
      <c r="B65">
        <v>2014</v>
      </c>
      <c r="C65" s="1" t="s">
        <v>43</v>
      </c>
      <c r="D65" s="2">
        <f>DATE(CPI_Data[[#This Row],[Year]],MATCH(CPI_Data[[#This Row],[Month]],{"January","February","March","April","May","June","July","August","September","October","November","December"},0),1)</f>
        <v>41913</v>
      </c>
      <c r="E65">
        <v>122.6</v>
      </c>
      <c r="F65">
        <v>122.5</v>
      </c>
      <c r="G65">
        <v>118.3</v>
      </c>
      <c r="H65">
        <v>123.2</v>
      </c>
      <c r="I65">
        <v>110.5</v>
      </c>
      <c r="J65">
        <v>128.9</v>
      </c>
      <c r="K65">
        <v>155.30000000000001</v>
      </c>
      <c r="L65">
        <v>115.5</v>
      </c>
      <c r="M65">
        <v>104</v>
      </c>
      <c r="N65">
        <v>115.3</v>
      </c>
      <c r="O65">
        <v>116.8</v>
      </c>
      <c r="P65">
        <v>123.2</v>
      </c>
      <c r="Q65">
        <v>125.1</v>
      </c>
      <c r="R65">
        <v>120</v>
      </c>
      <c r="S65">
        <v>122.7</v>
      </c>
      <c r="T65">
        <v>120.3</v>
      </c>
      <c r="U65">
        <v>122.3</v>
      </c>
      <c r="V65" t="s">
        <v>32</v>
      </c>
      <c r="W65">
        <v>116.4</v>
      </c>
      <c r="X65">
        <v>117.5</v>
      </c>
      <c r="Y65">
        <v>115.3</v>
      </c>
      <c r="Z65">
        <v>112.6</v>
      </c>
      <c r="AA65">
        <v>113</v>
      </c>
      <c r="AB65">
        <v>116.9</v>
      </c>
      <c r="AC65">
        <v>109.3</v>
      </c>
      <c r="AD65">
        <v>114</v>
      </c>
      <c r="AE65">
        <v>121</v>
      </c>
      <c r="AF65" t="str">
        <f>IF(AND(CPI_Data[[#This Row],[Date]]&gt;=DATE(2019,3,1),CPI_Data[[#This Row],[Date]]&lt;DATE(2020,3,1)),"Pre-COVID",IF(AND(CPI_Data[[#This Row],[Date]]&gt;=DATE(2020,3,1),CPI_Data[[#This Row],[Date]]&lt;DATE(2021,3,1)),"Post-COVID",""))</f>
        <v/>
      </c>
    </row>
    <row r="66" spans="1:32" hidden="1" x14ac:dyDescent="0.25">
      <c r="A66" t="s">
        <v>33</v>
      </c>
      <c r="B66">
        <v>2014</v>
      </c>
      <c r="C66" s="1" t="s">
        <v>43</v>
      </c>
      <c r="D66" s="2">
        <f>DATE(CPI_Data[[#This Row],[Year]],MATCH(CPI_Data[[#This Row],[Month]],{"January","February","March","April","May","June","July","August","September","October","November","December"},0),1)</f>
        <v>41913</v>
      </c>
      <c r="E66">
        <v>124.6</v>
      </c>
      <c r="F66">
        <v>126.1</v>
      </c>
      <c r="G66">
        <v>117.8</v>
      </c>
      <c r="H66">
        <v>123.1</v>
      </c>
      <c r="I66">
        <v>103.5</v>
      </c>
      <c r="J66">
        <v>123.5</v>
      </c>
      <c r="K66">
        <v>159.6</v>
      </c>
      <c r="L66">
        <v>117.4</v>
      </c>
      <c r="M66">
        <v>101.2</v>
      </c>
      <c r="N66">
        <v>123.8</v>
      </c>
      <c r="O66">
        <v>115.2</v>
      </c>
      <c r="P66">
        <v>125.9</v>
      </c>
      <c r="Q66">
        <v>125.8</v>
      </c>
      <c r="R66">
        <v>124.3</v>
      </c>
      <c r="S66">
        <v>119.6</v>
      </c>
      <c r="T66">
        <v>114.9</v>
      </c>
      <c r="U66">
        <v>118.9</v>
      </c>
      <c r="V66">
        <v>116.7</v>
      </c>
      <c r="W66">
        <v>112</v>
      </c>
      <c r="X66">
        <v>115.8</v>
      </c>
      <c r="Y66">
        <v>112.6</v>
      </c>
      <c r="Z66">
        <v>111</v>
      </c>
      <c r="AA66">
        <v>113.6</v>
      </c>
      <c r="AB66">
        <v>120.2</v>
      </c>
      <c r="AC66">
        <v>110.1</v>
      </c>
      <c r="AD66">
        <v>113.7</v>
      </c>
      <c r="AE66">
        <v>119.1</v>
      </c>
      <c r="AF66" t="str">
        <f>IF(AND(CPI_Data[[#This Row],[Date]]&gt;=DATE(2019,3,1),CPI_Data[[#This Row],[Date]]&lt;DATE(2020,3,1)),"Pre-COVID",IF(AND(CPI_Data[[#This Row],[Date]]&gt;=DATE(2020,3,1),CPI_Data[[#This Row],[Date]]&lt;DATE(2021,3,1)),"Post-COVID",""))</f>
        <v/>
      </c>
    </row>
    <row r="67" spans="1:32" hidden="1" x14ac:dyDescent="0.25">
      <c r="A67" t="s">
        <v>34</v>
      </c>
      <c r="B67">
        <v>2014</v>
      </c>
      <c r="C67" s="1" t="s">
        <v>43</v>
      </c>
      <c r="D67" s="2">
        <f>DATE(CPI_Data[[#This Row],[Year]],MATCH(CPI_Data[[#This Row],[Month]],{"January","February","March","April","May","June","July","August","September","October","November","December"},0),1)</f>
        <v>41913</v>
      </c>
      <c r="E67">
        <v>123.2</v>
      </c>
      <c r="F67">
        <v>123.8</v>
      </c>
      <c r="G67">
        <v>118.1</v>
      </c>
      <c r="H67">
        <v>123.2</v>
      </c>
      <c r="I67">
        <v>107.9</v>
      </c>
      <c r="J67">
        <v>126.4</v>
      </c>
      <c r="K67">
        <v>156.80000000000001</v>
      </c>
      <c r="L67">
        <v>116.1</v>
      </c>
      <c r="M67">
        <v>103.1</v>
      </c>
      <c r="N67">
        <v>118.1</v>
      </c>
      <c r="O67">
        <v>116.1</v>
      </c>
      <c r="P67">
        <v>124.5</v>
      </c>
      <c r="Q67">
        <v>125.4</v>
      </c>
      <c r="R67">
        <v>121.1</v>
      </c>
      <c r="S67">
        <v>121.5</v>
      </c>
      <c r="T67">
        <v>118.1</v>
      </c>
      <c r="U67">
        <v>121</v>
      </c>
      <c r="V67">
        <v>116.7</v>
      </c>
      <c r="W67">
        <v>114.7</v>
      </c>
      <c r="X67">
        <v>116.7</v>
      </c>
      <c r="Y67">
        <v>114.3</v>
      </c>
      <c r="Z67">
        <v>111.8</v>
      </c>
      <c r="AA67">
        <v>113.3</v>
      </c>
      <c r="AB67">
        <v>118.8</v>
      </c>
      <c r="AC67">
        <v>109.6</v>
      </c>
      <c r="AD67">
        <v>113.9</v>
      </c>
      <c r="AE67">
        <v>120.1</v>
      </c>
      <c r="AF67" t="str">
        <f>IF(AND(CPI_Data[[#This Row],[Date]]&gt;=DATE(2019,3,1),CPI_Data[[#This Row],[Date]]&lt;DATE(2020,3,1)),"Pre-COVID",IF(AND(CPI_Data[[#This Row],[Date]]&gt;=DATE(2020,3,1),CPI_Data[[#This Row],[Date]]&lt;DATE(2021,3,1)),"Post-COVID",""))</f>
        <v/>
      </c>
    </row>
    <row r="68" spans="1:32" hidden="1" x14ac:dyDescent="0.25">
      <c r="A68" t="s">
        <v>30</v>
      </c>
      <c r="B68">
        <v>2014</v>
      </c>
      <c r="C68" s="1" t="s">
        <v>45</v>
      </c>
      <c r="D68" s="2">
        <f>DATE(CPI_Data[[#This Row],[Year]],MATCH(CPI_Data[[#This Row],[Month]],{"January","February","March","April","May","June","July","August","September","October","November","December"},0),1)</f>
        <v>41944</v>
      </c>
      <c r="E68">
        <v>122.7</v>
      </c>
      <c r="F68">
        <v>122.6</v>
      </c>
      <c r="G68">
        <v>119.9</v>
      </c>
      <c r="H68">
        <v>124</v>
      </c>
      <c r="I68">
        <v>110.5</v>
      </c>
      <c r="J68">
        <v>128.80000000000001</v>
      </c>
      <c r="K68">
        <v>152</v>
      </c>
      <c r="L68">
        <v>116.2</v>
      </c>
      <c r="M68">
        <v>103.3</v>
      </c>
      <c r="N68">
        <v>115.8</v>
      </c>
      <c r="O68">
        <v>116.8</v>
      </c>
      <c r="P68">
        <v>124.5</v>
      </c>
      <c r="Q68">
        <v>124.9</v>
      </c>
      <c r="R68">
        <v>120.8</v>
      </c>
      <c r="S68">
        <v>123.3</v>
      </c>
      <c r="T68">
        <v>120.5</v>
      </c>
      <c r="U68">
        <v>122.9</v>
      </c>
      <c r="V68" t="s">
        <v>32</v>
      </c>
      <c r="W68">
        <v>117.3</v>
      </c>
      <c r="X68">
        <v>118.1</v>
      </c>
      <c r="Y68">
        <v>115.9</v>
      </c>
      <c r="Z68">
        <v>112</v>
      </c>
      <c r="AA68">
        <v>113.3</v>
      </c>
      <c r="AB68">
        <v>117.2</v>
      </c>
      <c r="AC68">
        <v>108.8</v>
      </c>
      <c r="AD68">
        <v>114.1</v>
      </c>
      <c r="AE68">
        <v>121.1</v>
      </c>
      <c r="AF68" t="str">
        <f>IF(AND(CPI_Data[[#This Row],[Date]]&gt;=DATE(2019,3,1),CPI_Data[[#This Row],[Date]]&lt;DATE(2020,3,1)),"Pre-COVID",IF(AND(CPI_Data[[#This Row],[Date]]&gt;=DATE(2020,3,1),CPI_Data[[#This Row],[Date]]&lt;DATE(2021,3,1)),"Post-COVID",""))</f>
        <v/>
      </c>
    </row>
    <row r="69" spans="1:32" hidden="1" x14ac:dyDescent="0.25">
      <c r="A69" t="s">
        <v>33</v>
      </c>
      <c r="B69">
        <v>2014</v>
      </c>
      <c r="C69" s="1" t="s">
        <v>45</v>
      </c>
      <c r="D69" s="2">
        <f>DATE(CPI_Data[[#This Row],[Year]],MATCH(CPI_Data[[#This Row],[Month]],{"January","February","March","April","May","June","July","August","September","October","November","December"},0),1)</f>
        <v>41944</v>
      </c>
      <c r="E69">
        <v>124.5</v>
      </c>
      <c r="F69">
        <v>125.6</v>
      </c>
      <c r="G69">
        <v>122.7</v>
      </c>
      <c r="H69">
        <v>124.6</v>
      </c>
      <c r="I69">
        <v>103.2</v>
      </c>
      <c r="J69">
        <v>122.2</v>
      </c>
      <c r="K69">
        <v>153.19999999999999</v>
      </c>
      <c r="L69">
        <v>119.3</v>
      </c>
      <c r="M69">
        <v>99.8</v>
      </c>
      <c r="N69">
        <v>124.6</v>
      </c>
      <c r="O69">
        <v>115.8</v>
      </c>
      <c r="P69">
        <v>126.9</v>
      </c>
      <c r="Q69">
        <v>125.4</v>
      </c>
      <c r="R69">
        <v>125.8</v>
      </c>
      <c r="S69">
        <v>120.3</v>
      </c>
      <c r="T69">
        <v>115.4</v>
      </c>
      <c r="U69">
        <v>119.5</v>
      </c>
      <c r="V69">
        <v>117.1</v>
      </c>
      <c r="W69">
        <v>112.6</v>
      </c>
      <c r="X69">
        <v>116.4</v>
      </c>
      <c r="Y69">
        <v>113</v>
      </c>
      <c r="Z69">
        <v>109.7</v>
      </c>
      <c r="AA69">
        <v>114</v>
      </c>
      <c r="AB69">
        <v>120.3</v>
      </c>
      <c r="AC69">
        <v>109.6</v>
      </c>
      <c r="AD69">
        <v>113.4</v>
      </c>
      <c r="AE69">
        <v>119</v>
      </c>
      <c r="AF69" t="str">
        <f>IF(AND(CPI_Data[[#This Row],[Date]]&gt;=DATE(2019,3,1),CPI_Data[[#This Row],[Date]]&lt;DATE(2020,3,1)),"Pre-COVID",IF(AND(CPI_Data[[#This Row],[Date]]&gt;=DATE(2020,3,1),CPI_Data[[#This Row],[Date]]&lt;DATE(2021,3,1)),"Post-COVID",""))</f>
        <v/>
      </c>
    </row>
    <row r="70" spans="1:32" hidden="1" x14ac:dyDescent="0.25">
      <c r="A70" t="s">
        <v>34</v>
      </c>
      <c r="B70">
        <v>2014</v>
      </c>
      <c r="C70" s="1" t="s">
        <v>45</v>
      </c>
      <c r="D70" s="2">
        <f>DATE(CPI_Data[[#This Row],[Year]],MATCH(CPI_Data[[#This Row],[Month]],{"January","February","March","April","May","June","July","August","September","October","November","December"},0),1)</f>
        <v>41944</v>
      </c>
      <c r="E70">
        <v>123.3</v>
      </c>
      <c r="F70">
        <v>123.7</v>
      </c>
      <c r="G70">
        <v>121</v>
      </c>
      <c r="H70">
        <v>124.2</v>
      </c>
      <c r="I70">
        <v>107.8</v>
      </c>
      <c r="J70">
        <v>125.7</v>
      </c>
      <c r="K70">
        <v>152.4</v>
      </c>
      <c r="L70">
        <v>117.2</v>
      </c>
      <c r="M70">
        <v>102.1</v>
      </c>
      <c r="N70">
        <v>118.7</v>
      </c>
      <c r="O70">
        <v>116.4</v>
      </c>
      <c r="P70">
        <v>125.6</v>
      </c>
      <c r="Q70">
        <v>125.1</v>
      </c>
      <c r="R70">
        <v>122.1</v>
      </c>
      <c r="S70">
        <v>122.1</v>
      </c>
      <c r="T70">
        <v>118.4</v>
      </c>
      <c r="U70">
        <v>121.6</v>
      </c>
      <c r="V70">
        <v>117.1</v>
      </c>
      <c r="W70">
        <v>115.5</v>
      </c>
      <c r="X70">
        <v>117.3</v>
      </c>
      <c r="Y70">
        <v>114.8</v>
      </c>
      <c r="Z70">
        <v>110.8</v>
      </c>
      <c r="AA70">
        <v>113.7</v>
      </c>
      <c r="AB70">
        <v>119</v>
      </c>
      <c r="AC70">
        <v>109.1</v>
      </c>
      <c r="AD70">
        <v>113.8</v>
      </c>
      <c r="AE70">
        <v>120.1</v>
      </c>
      <c r="AF70" t="str">
        <f>IF(AND(CPI_Data[[#This Row],[Date]]&gt;=DATE(2019,3,1),CPI_Data[[#This Row],[Date]]&lt;DATE(2020,3,1)),"Pre-COVID",IF(AND(CPI_Data[[#This Row],[Date]]&gt;=DATE(2020,3,1),CPI_Data[[#This Row],[Date]]&lt;DATE(2021,3,1)),"Post-COVID",""))</f>
        <v/>
      </c>
    </row>
    <row r="71" spans="1:32" hidden="1" x14ac:dyDescent="0.25">
      <c r="A71" t="s">
        <v>30</v>
      </c>
      <c r="B71">
        <v>2014</v>
      </c>
      <c r="C71" s="1" t="s">
        <v>46</v>
      </c>
      <c r="D71" s="2">
        <f>DATE(CPI_Data[[#This Row],[Year]],MATCH(CPI_Data[[#This Row],[Month]],{"January","February","March","April","May","June","July","August","September","October","November","December"},0),1)</f>
        <v>41974</v>
      </c>
      <c r="E71">
        <v>122.4</v>
      </c>
      <c r="F71">
        <v>122.4</v>
      </c>
      <c r="G71">
        <v>121.8</v>
      </c>
      <c r="H71">
        <v>124.2</v>
      </c>
      <c r="I71">
        <v>110.2</v>
      </c>
      <c r="J71">
        <v>128.6</v>
      </c>
      <c r="K71">
        <v>140.30000000000001</v>
      </c>
      <c r="L71">
        <v>116.3</v>
      </c>
      <c r="M71">
        <v>102</v>
      </c>
      <c r="N71">
        <v>116</v>
      </c>
      <c r="O71">
        <v>117.3</v>
      </c>
      <c r="P71">
        <v>124.8</v>
      </c>
      <c r="Q71">
        <v>123.3</v>
      </c>
      <c r="R71">
        <v>121.7</v>
      </c>
      <c r="S71">
        <v>123.8</v>
      </c>
      <c r="T71">
        <v>120.6</v>
      </c>
      <c r="U71">
        <v>123.3</v>
      </c>
      <c r="V71" t="s">
        <v>32</v>
      </c>
      <c r="W71">
        <v>117.4</v>
      </c>
      <c r="X71">
        <v>118.2</v>
      </c>
      <c r="Y71">
        <v>116.2</v>
      </c>
      <c r="Z71">
        <v>111.5</v>
      </c>
      <c r="AA71">
        <v>113.3</v>
      </c>
      <c r="AB71">
        <v>117.7</v>
      </c>
      <c r="AC71">
        <v>109.4</v>
      </c>
      <c r="AD71">
        <v>114.2</v>
      </c>
      <c r="AE71">
        <v>120.3</v>
      </c>
      <c r="AF71" t="str">
        <f>IF(AND(CPI_Data[[#This Row],[Date]]&gt;=DATE(2019,3,1),CPI_Data[[#This Row],[Date]]&lt;DATE(2020,3,1)),"Pre-COVID",IF(AND(CPI_Data[[#This Row],[Date]]&gt;=DATE(2020,3,1),CPI_Data[[#This Row],[Date]]&lt;DATE(2021,3,1)),"Post-COVID",""))</f>
        <v/>
      </c>
    </row>
    <row r="72" spans="1:32" hidden="1" x14ac:dyDescent="0.25">
      <c r="A72" t="s">
        <v>33</v>
      </c>
      <c r="B72">
        <v>2014</v>
      </c>
      <c r="C72" s="1" t="s">
        <v>46</v>
      </c>
      <c r="D72" s="2">
        <f>DATE(CPI_Data[[#This Row],[Year]],MATCH(CPI_Data[[#This Row],[Month]],{"January","February","March","April","May","June","July","August","September","October","November","December"},0),1)</f>
        <v>41974</v>
      </c>
      <c r="E72">
        <v>124</v>
      </c>
      <c r="F72">
        <v>124.7</v>
      </c>
      <c r="G72">
        <v>126.3</v>
      </c>
      <c r="H72">
        <v>124.9</v>
      </c>
      <c r="I72">
        <v>103</v>
      </c>
      <c r="J72">
        <v>122.3</v>
      </c>
      <c r="K72">
        <v>141</v>
      </c>
      <c r="L72">
        <v>120.1</v>
      </c>
      <c r="M72">
        <v>97.8</v>
      </c>
      <c r="N72">
        <v>125.4</v>
      </c>
      <c r="O72">
        <v>116.1</v>
      </c>
      <c r="P72">
        <v>127.6</v>
      </c>
      <c r="Q72">
        <v>124</v>
      </c>
      <c r="R72">
        <v>126.4</v>
      </c>
      <c r="S72">
        <v>120.7</v>
      </c>
      <c r="T72">
        <v>115.8</v>
      </c>
      <c r="U72">
        <v>120</v>
      </c>
      <c r="V72">
        <v>116.5</v>
      </c>
      <c r="W72">
        <v>113</v>
      </c>
      <c r="X72">
        <v>116.8</v>
      </c>
      <c r="Y72">
        <v>113.2</v>
      </c>
      <c r="Z72">
        <v>108.8</v>
      </c>
      <c r="AA72">
        <v>114.3</v>
      </c>
      <c r="AB72">
        <v>120.7</v>
      </c>
      <c r="AC72">
        <v>110.4</v>
      </c>
      <c r="AD72">
        <v>113.4</v>
      </c>
      <c r="AE72">
        <v>118.4</v>
      </c>
      <c r="AF72" t="str">
        <f>IF(AND(CPI_Data[[#This Row],[Date]]&gt;=DATE(2019,3,1),CPI_Data[[#This Row],[Date]]&lt;DATE(2020,3,1)),"Pre-COVID",IF(AND(CPI_Data[[#This Row],[Date]]&gt;=DATE(2020,3,1),CPI_Data[[#This Row],[Date]]&lt;DATE(2021,3,1)),"Post-COVID",""))</f>
        <v/>
      </c>
    </row>
    <row r="73" spans="1:32" hidden="1" x14ac:dyDescent="0.25">
      <c r="A73" t="s">
        <v>34</v>
      </c>
      <c r="B73">
        <v>2014</v>
      </c>
      <c r="C73" s="1" t="s">
        <v>46</v>
      </c>
      <c r="D73" s="2">
        <f>DATE(CPI_Data[[#This Row],[Year]],MATCH(CPI_Data[[#This Row],[Month]],{"January","February","March","April","May","June","July","August","September","October","November","December"},0),1)</f>
        <v>41974</v>
      </c>
      <c r="E73">
        <v>122.9</v>
      </c>
      <c r="F73">
        <v>123.2</v>
      </c>
      <c r="G73">
        <v>123.5</v>
      </c>
      <c r="H73">
        <v>124.5</v>
      </c>
      <c r="I73">
        <v>107.6</v>
      </c>
      <c r="J73">
        <v>125.7</v>
      </c>
      <c r="K73">
        <v>140.5</v>
      </c>
      <c r="L73">
        <v>117.6</v>
      </c>
      <c r="M73">
        <v>100.6</v>
      </c>
      <c r="N73">
        <v>119.1</v>
      </c>
      <c r="O73">
        <v>116.8</v>
      </c>
      <c r="P73">
        <v>126.1</v>
      </c>
      <c r="Q73">
        <v>123.6</v>
      </c>
      <c r="R73">
        <v>123</v>
      </c>
      <c r="S73">
        <v>122.6</v>
      </c>
      <c r="T73">
        <v>118.6</v>
      </c>
      <c r="U73">
        <v>122</v>
      </c>
      <c r="V73">
        <v>116.5</v>
      </c>
      <c r="W73">
        <v>115.7</v>
      </c>
      <c r="X73">
        <v>117.5</v>
      </c>
      <c r="Y73">
        <v>115.1</v>
      </c>
      <c r="Z73">
        <v>110.1</v>
      </c>
      <c r="AA73">
        <v>113.9</v>
      </c>
      <c r="AB73">
        <v>119.5</v>
      </c>
      <c r="AC73">
        <v>109.8</v>
      </c>
      <c r="AD73">
        <v>113.8</v>
      </c>
      <c r="AE73">
        <v>119.4</v>
      </c>
      <c r="AF73" t="str">
        <f>IF(AND(CPI_Data[[#This Row],[Date]]&gt;=DATE(2019,3,1),CPI_Data[[#This Row],[Date]]&lt;DATE(2020,3,1)),"Pre-COVID",IF(AND(CPI_Data[[#This Row],[Date]]&gt;=DATE(2020,3,1),CPI_Data[[#This Row],[Date]]&lt;DATE(2021,3,1)),"Post-COVID",""))</f>
        <v/>
      </c>
    </row>
    <row r="74" spans="1:32" hidden="1" x14ac:dyDescent="0.25">
      <c r="A74" t="s">
        <v>30</v>
      </c>
      <c r="B74">
        <v>2015</v>
      </c>
      <c r="C74" s="1" t="s">
        <v>31</v>
      </c>
      <c r="D74" s="2">
        <f>DATE(CPI_Data[[#This Row],[Year]],MATCH(CPI_Data[[#This Row],[Month]],{"January","February","March","April","May","June","July","August","September","October","November","December"},0),1)</f>
        <v>42005</v>
      </c>
      <c r="E74">
        <v>123.1</v>
      </c>
      <c r="F74">
        <v>123.1</v>
      </c>
      <c r="G74">
        <v>122.1</v>
      </c>
      <c r="H74">
        <v>124.9</v>
      </c>
      <c r="I74">
        <v>111</v>
      </c>
      <c r="J74">
        <v>130.4</v>
      </c>
      <c r="K74">
        <v>132.30000000000001</v>
      </c>
      <c r="L74">
        <v>117.2</v>
      </c>
      <c r="M74">
        <v>100.5</v>
      </c>
      <c r="N74">
        <v>117.2</v>
      </c>
      <c r="O74">
        <v>117.9</v>
      </c>
      <c r="P74">
        <v>125.6</v>
      </c>
      <c r="Q74">
        <v>122.8</v>
      </c>
      <c r="R74">
        <v>122.7</v>
      </c>
      <c r="S74">
        <v>124.4</v>
      </c>
      <c r="T74">
        <v>121.6</v>
      </c>
      <c r="U74">
        <v>124</v>
      </c>
      <c r="V74" t="s">
        <v>32</v>
      </c>
      <c r="W74">
        <v>118.4</v>
      </c>
      <c r="X74">
        <v>118.9</v>
      </c>
      <c r="Y74">
        <v>116.6</v>
      </c>
      <c r="Z74">
        <v>111</v>
      </c>
      <c r="AA74">
        <v>114</v>
      </c>
      <c r="AB74">
        <v>118.2</v>
      </c>
      <c r="AC74">
        <v>110.2</v>
      </c>
      <c r="AD74">
        <v>114.5</v>
      </c>
      <c r="AE74">
        <v>120.3</v>
      </c>
      <c r="AF74" t="str">
        <f>IF(AND(CPI_Data[[#This Row],[Date]]&gt;=DATE(2019,3,1),CPI_Data[[#This Row],[Date]]&lt;DATE(2020,3,1)),"Pre-COVID",IF(AND(CPI_Data[[#This Row],[Date]]&gt;=DATE(2020,3,1),CPI_Data[[#This Row],[Date]]&lt;DATE(2021,3,1)),"Post-COVID",""))</f>
        <v/>
      </c>
    </row>
    <row r="75" spans="1:32" hidden="1" x14ac:dyDescent="0.25">
      <c r="A75" t="s">
        <v>33</v>
      </c>
      <c r="B75">
        <v>2015</v>
      </c>
      <c r="C75" s="1" t="s">
        <v>31</v>
      </c>
      <c r="D75" s="2">
        <f>DATE(CPI_Data[[#This Row],[Year]],MATCH(CPI_Data[[#This Row],[Month]],{"January","February","March","April","May","June","July","August","September","October","November","December"},0),1)</f>
        <v>42005</v>
      </c>
      <c r="E75">
        <v>124</v>
      </c>
      <c r="F75">
        <v>125.5</v>
      </c>
      <c r="G75">
        <v>126.6</v>
      </c>
      <c r="H75">
        <v>125.2</v>
      </c>
      <c r="I75">
        <v>104.3</v>
      </c>
      <c r="J75">
        <v>121.3</v>
      </c>
      <c r="K75">
        <v>134.4</v>
      </c>
      <c r="L75">
        <v>122.9</v>
      </c>
      <c r="M75">
        <v>96.1</v>
      </c>
      <c r="N75">
        <v>126.6</v>
      </c>
      <c r="O75">
        <v>116.5</v>
      </c>
      <c r="P75">
        <v>128</v>
      </c>
      <c r="Q75">
        <v>123.5</v>
      </c>
      <c r="R75">
        <v>127.4</v>
      </c>
      <c r="S75">
        <v>121</v>
      </c>
      <c r="T75">
        <v>116.1</v>
      </c>
      <c r="U75">
        <v>120.2</v>
      </c>
      <c r="V75">
        <v>117.3</v>
      </c>
      <c r="W75">
        <v>113.4</v>
      </c>
      <c r="X75">
        <v>117.2</v>
      </c>
      <c r="Y75">
        <v>113.7</v>
      </c>
      <c r="Z75">
        <v>107.9</v>
      </c>
      <c r="AA75">
        <v>114.6</v>
      </c>
      <c r="AB75">
        <v>120.8</v>
      </c>
      <c r="AC75">
        <v>111.4</v>
      </c>
      <c r="AD75">
        <v>113.4</v>
      </c>
      <c r="AE75">
        <v>118.5</v>
      </c>
      <c r="AF75" t="str">
        <f>IF(AND(CPI_Data[[#This Row],[Date]]&gt;=DATE(2019,3,1),CPI_Data[[#This Row],[Date]]&lt;DATE(2020,3,1)),"Pre-COVID",IF(AND(CPI_Data[[#This Row],[Date]]&gt;=DATE(2020,3,1),CPI_Data[[#This Row],[Date]]&lt;DATE(2021,3,1)),"Post-COVID",""))</f>
        <v/>
      </c>
    </row>
    <row r="76" spans="1:32" hidden="1" x14ac:dyDescent="0.25">
      <c r="A76" t="s">
        <v>34</v>
      </c>
      <c r="B76">
        <v>2015</v>
      </c>
      <c r="C76" s="1" t="s">
        <v>31</v>
      </c>
      <c r="D76" s="2">
        <f>DATE(CPI_Data[[#This Row],[Year]],MATCH(CPI_Data[[#This Row],[Month]],{"January","February","March","April","May","June","July","August","September","October","November","December"},0),1)</f>
        <v>42005</v>
      </c>
      <c r="E76">
        <v>123.4</v>
      </c>
      <c r="F76">
        <v>123.9</v>
      </c>
      <c r="G76">
        <v>123.8</v>
      </c>
      <c r="H76">
        <v>125</v>
      </c>
      <c r="I76">
        <v>108.5</v>
      </c>
      <c r="J76">
        <v>126.2</v>
      </c>
      <c r="K76">
        <v>133</v>
      </c>
      <c r="L76">
        <v>119.1</v>
      </c>
      <c r="M76">
        <v>99</v>
      </c>
      <c r="N76">
        <v>120.3</v>
      </c>
      <c r="O76">
        <v>117.3</v>
      </c>
      <c r="P76">
        <v>126.7</v>
      </c>
      <c r="Q76">
        <v>123.1</v>
      </c>
      <c r="R76">
        <v>124</v>
      </c>
      <c r="S76">
        <v>123.1</v>
      </c>
      <c r="T76">
        <v>119.3</v>
      </c>
      <c r="U76">
        <v>122.5</v>
      </c>
      <c r="V76">
        <v>117.3</v>
      </c>
      <c r="W76">
        <v>116.5</v>
      </c>
      <c r="X76">
        <v>118.1</v>
      </c>
      <c r="Y76">
        <v>115.5</v>
      </c>
      <c r="Z76">
        <v>109.4</v>
      </c>
      <c r="AA76">
        <v>114.3</v>
      </c>
      <c r="AB76">
        <v>119.7</v>
      </c>
      <c r="AC76">
        <v>110.7</v>
      </c>
      <c r="AD76">
        <v>114</v>
      </c>
      <c r="AE76">
        <v>119.5</v>
      </c>
      <c r="AF76" t="str">
        <f>IF(AND(CPI_Data[[#This Row],[Date]]&gt;=DATE(2019,3,1),CPI_Data[[#This Row],[Date]]&lt;DATE(2020,3,1)),"Pre-COVID",IF(AND(CPI_Data[[#This Row],[Date]]&gt;=DATE(2020,3,1),CPI_Data[[#This Row],[Date]]&lt;DATE(2021,3,1)),"Post-COVID",""))</f>
        <v/>
      </c>
    </row>
    <row r="77" spans="1:32" hidden="1" x14ac:dyDescent="0.25">
      <c r="A77" t="s">
        <v>30</v>
      </c>
      <c r="B77">
        <v>2015</v>
      </c>
      <c r="C77" s="1" t="s">
        <v>35</v>
      </c>
      <c r="D77" s="2">
        <f>DATE(CPI_Data[[#This Row],[Year]],MATCH(CPI_Data[[#This Row],[Month]],{"January","February","March","April","May","June","July","August","September","October","November","December"},0),1)</f>
        <v>42036</v>
      </c>
      <c r="E77">
        <v>123.4</v>
      </c>
      <c r="F77">
        <v>124.4</v>
      </c>
      <c r="G77">
        <v>122.1</v>
      </c>
      <c r="H77">
        <v>125.8</v>
      </c>
      <c r="I77">
        <v>111.5</v>
      </c>
      <c r="J77">
        <v>129.4</v>
      </c>
      <c r="K77">
        <v>128.19999999999999</v>
      </c>
      <c r="L77">
        <v>118.8</v>
      </c>
      <c r="M77">
        <v>100</v>
      </c>
      <c r="N77">
        <v>118.6</v>
      </c>
      <c r="O77">
        <v>118.8</v>
      </c>
      <c r="P77">
        <v>126.8</v>
      </c>
      <c r="Q77">
        <v>122.8</v>
      </c>
      <c r="R77">
        <v>124.2</v>
      </c>
      <c r="S77">
        <v>125.4</v>
      </c>
      <c r="T77">
        <v>122.7</v>
      </c>
      <c r="U77">
        <v>125</v>
      </c>
      <c r="V77" t="s">
        <v>32</v>
      </c>
      <c r="W77">
        <v>120</v>
      </c>
      <c r="X77">
        <v>119.6</v>
      </c>
      <c r="Y77">
        <v>117.7</v>
      </c>
      <c r="Z77">
        <v>110.9</v>
      </c>
      <c r="AA77">
        <v>114.8</v>
      </c>
      <c r="AB77">
        <v>118.7</v>
      </c>
      <c r="AC77">
        <v>110.8</v>
      </c>
      <c r="AD77">
        <v>115</v>
      </c>
      <c r="AE77">
        <v>120.6</v>
      </c>
      <c r="AF77" t="str">
        <f>IF(AND(CPI_Data[[#This Row],[Date]]&gt;=DATE(2019,3,1),CPI_Data[[#This Row],[Date]]&lt;DATE(2020,3,1)),"Pre-COVID",IF(AND(CPI_Data[[#This Row],[Date]]&gt;=DATE(2020,3,1),CPI_Data[[#This Row],[Date]]&lt;DATE(2021,3,1)),"Post-COVID",""))</f>
        <v/>
      </c>
    </row>
    <row r="78" spans="1:32" hidden="1" x14ac:dyDescent="0.25">
      <c r="A78" t="s">
        <v>33</v>
      </c>
      <c r="B78">
        <v>2015</v>
      </c>
      <c r="C78" s="1" t="s">
        <v>35</v>
      </c>
      <c r="D78" s="2">
        <f>DATE(CPI_Data[[#This Row],[Year]],MATCH(CPI_Data[[#This Row],[Month]],{"January","February","March","April","May","June","July","August","September","October","November","December"},0),1)</f>
        <v>42036</v>
      </c>
      <c r="E78">
        <v>124.3</v>
      </c>
      <c r="F78">
        <v>126.5</v>
      </c>
      <c r="G78">
        <v>119.5</v>
      </c>
      <c r="H78">
        <v>125.6</v>
      </c>
      <c r="I78">
        <v>104.9</v>
      </c>
      <c r="J78">
        <v>121.6</v>
      </c>
      <c r="K78">
        <v>131.80000000000001</v>
      </c>
      <c r="L78">
        <v>125.1</v>
      </c>
      <c r="M78">
        <v>95</v>
      </c>
      <c r="N78">
        <v>127.7</v>
      </c>
      <c r="O78">
        <v>116.8</v>
      </c>
      <c r="P78">
        <v>128.6</v>
      </c>
      <c r="Q78">
        <v>123.7</v>
      </c>
      <c r="R78">
        <v>128.1</v>
      </c>
      <c r="S78">
        <v>121.3</v>
      </c>
      <c r="T78">
        <v>116.5</v>
      </c>
      <c r="U78">
        <v>120.6</v>
      </c>
      <c r="V78">
        <v>118.1</v>
      </c>
      <c r="W78">
        <v>114</v>
      </c>
      <c r="X78">
        <v>117.7</v>
      </c>
      <c r="Y78">
        <v>114.1</v>
      </c>
      <c r="Z78">
        <v>106.8</v>
      </c>
      <c r="AA78">
        <v>114.9</v>
      </c>
      <c r="AB78">
        <v>120.4</v>
      </c>
      <c r="AC78">
        <v>111.7</v>
      </c>
      <c r="AD78">
        <v>113.2</v>
      </c>
      <c r="AE78">
        <v>118.7</v>
      </c>
      <c r="AF78" t="str">
        <f>IF(AND(CPI_Data[[#This Row],[Date]]&gt;=DATE(2019,3,1),CPI_Data[[#This Row],[Date]]&lt;DATE(2020,3,1)),"Pre-COVID",IF(AND(CPI_Data[[#This Row],[Date]]&gt;=DATE(2020,3,1),CPI_Data[[#This Row],[Date]]&lt;DATE(2021,3,1)),"Post-COVID",""))</f>
        <v/>
      </c>
    </row>
    <row r="79" spans="1:32" hidden="1" x14ac:dyDescent="0.25">
      <c r="A79" t="s">
        <v>34</v>
      </c>
      <c r="B79">
        <v>2015</v>
      </c>
      <c r="C79" s="1" t="s">
        <v>35</v>
      </c>
      <c r="D79" s="2">
        <f>DATE(CPI_Data[[#This Row],[Year]],MATCH(CPI_Data[[#This Row],[Month]],{"January","February","March","April","May","June","July","August","September","October","November","December"},0),1)</f>
        <v>42036</v>
      </c>
      <c r="E79">
        <v>123.7</v>
      </c>
      <c r="F79">
        <v>125.1</v>
      </c>
      <c r="G79">
        <v>121.1</v>
      </c>
      <c r="H79">
        <v>125.7</v>
      </c>
      <c r="I79">
        <v>109.1</v>
      </c>
      <c r="J79">
        <v>125.8</v>
      </c>
      <c r="K79">
        <v>129.4</v>
      </c>
      <c r="L79">
        <v>120.9</v>
      </c>
      <c r="M79">
        <v>98.3</v>
      </c>
      <c r="N79">
        <v>121.6</v>
      </c>
      <c r="O79">
        <v>118</v>
      </c>
      <c r="P79">
        <v>127.6</v>
      </c>
      <c r="Q79">
        <v>123.1</v>
      </c>
      <c r="R79">
        <v>125.2</v>
      </c>
      <c r="S79">
        <v>123.8</v>
      </c>
      <c r="T79">
        <v>120.1</v>
      </c>
      <c r="U79">
        <v>123.3</v>
      </c>
      <c r="V79">
        <v>118.1</v>
      </c>
      <c r="W79">
        <v>117.7</v>
      </c>
      <c r="X79">
        <v>118.7</v>
      </c>
      <c r="Y79">
        <v>116.3</v>
      </c>
      <c r="Z79">
        <v>108.7</v>
      </c>
      <c r="AA79">
        <v>114.9</v>
      </c>
      <c r="AB79">
        <v>119.7</v>
      </c>
      <c r="AC79">
        <v>111.2</v>
      </c>
      <c r="AD79">
        <v>114.1</v>
      </c>
      <c r="AE79">
        <v>119.7</v>
      </c>
      <c r="AF79" t="str">
        <f>IF(AND(CPI_Data[[#This Row],[Date]]&gt;=DATE(2019,3,1),CPI_Data[[#This Row],[Date]]&lt;DATE(2020,3,1)),"Pre-COVID",IF(AND(CPI_Data[[#This Row],[Date]]&gt;=DATE(2020,3,1),CPI_Data[[#This Row],[Date]]&lt;DATE(2021,3,1)),"Post-COVID",""))</f>
        <v/>
      </c>
    </row>
    <row r="80" spans="1:32" hidden="1" x14ac:dyDescent="0.25">
      <c r="A80" t="s">
        <v>30</v>
      </c>
      <c r="B80">
        <v>2015</v>
      </c>
      <c r="C80" s="1" t="s">
        <v>36</v>
      </c>
      <c r="D80" s="2">
        <f>DATE(CPI_Data[[#This Row],[Year]],MATCH(CPI_Data[[#This Row],[Month]],{"January","February","March","April","May","June","July","August","September","October","November","December"},0),1)</f>
        <v>42064</v>
      </c>
      <c r="E80">
        <v>123.3</v>
      </c>
      <c r="F80">
        <v>124.7</v>
      </c>
      <c r="G80">
        <v>118.9</v>
      </c>
      <c r="H80">
        <v>126</v>
      </c>
      <c r="I80">
        <v>111.8</v>
      </c>
      <c r="J80">
        <v>130.9</v>
      </c>
      <c r="K80">
        <v>128</v>
      </c>
      <c r="L80">
        <v>119.9</v>
      </c>
      <c r="M80">
        <v>98.9</v>
      </c>
      <c r="N80">
        <v>119.4</v>
      </c>
      <c r="O80">
        <v>118.9</v>
      </c>
      <c r="P80">
        <v>127.7</v>
      </c>
      <c r="Q80">
        <v>123.1</v>
      </c>
      <c r="R80">
        <v>124.7</v>
      </c>
      <c r="S80">
        <v>126</v>
      </c>
      <c r="T80">
        <v>122.9</v>
      </c>
      <c r="U80">
        <v>125.5</v>
      </c>
      <c r="V80" t="s">
        <v>32</v>
      </c>
      <c r="W80">
        <v>120.6</v>
      </c>
      <c r="X80">
        <v>120.2</v>
      </c>
      <c r="Y80">
        <v>118.2</v>
      </c>
      <c r="Z80">
        <v>111.6</v>
      </c>
      <c r="AA80">
        <v>115.5</v>
      </c>
      <c r="AB80">
        <v>119.4</v>
      </c>
      <c r="AC80">
        <v>110.8</v>
      </c>
      <c r="AD80">
        <v>115.5</v>
      </c>
      <c r="AE80">
        <v>121.1</v>
      </c>
      <c r="AF80" t="str">
        <f>IF(AND(CPI_Data[[#This Row],[Date]]&gt;=DATE(2019,3,1),CPI_Data[[#This Row],[Date]]&lt;DATE(2020,3,1)),"Pre-COVID",IF(AND(CPI_Data[[#This Row],[Date]]&gt;=DATE(2020,3,1),CPI_Data[[#This Row],[Date]]&lt;DATE(2021,3,1)),"Post-COVID",""))</f>
        <v/>
      </c>
    </row>
    <row r="81" spans="1:32" hidden="1" x14ac:dyDescent="0.25">
      <c r="A81" t="s">
        <v>33</v>
      </c>
      <c r="B81">
        <v>2015</v>
      </c>
      <c r="C81" s="1" t="s">
        <v>36</v>
      </c>
      <c r="D81" s="2">
        <f>DATE(CPI_Data[[#This Row],[Year]],MATCH(CPI_Data[[#This Row],[Month]],{"January","February","March","April","May","June","July","August","September","October","November","December"},0),1)</f>
        <v>42064</v>
      </c>
      <c r="E81">
        <v>124</v>
      </c>
      <c r="F81">
        <v>126.7</v>
      </c>
      <c r="G81">
        <v>113.5</v>
      </c>
      <c r="H81">
        <v>125.9</v>
      </c>
      <c r="I81">
        <v>104.8</v>
      </c>
      <c r="J81">
        <v>123.8</v>
      </c>
      <c r="K81">
        <v>131.4</v>
      </c>
      <c r="L81">
        <v>127.2</v>
      </c>
      <c r="M81">
        <v>93.2</v>
      </c>
      <c r="N81">
        <v>127.4</v>
      </c>
      <c r="O81">
        <v>117</v>
      </c>
      <c r="P81">
        <v>129.19999999999999</v>
      </c>
      <c r="Q81">
        <v>123.9</v>
      </c>
      <c r="R81">
        <v>128.80000000000001</v>
      </c>
      <c r="S81">
        <v>121.7</v>
      </c>
      <c r="T81">
        <v>116.9</v>
      </c>
      <c r="U81">
        <v>120.9</v>
      </c>
      <c r="V81">
        <v>118.6</v>
      </c>
      <c r="W81">
        <v>114.4</v>
      </c>
      <c r="X81">
        <v>118</v>
      </c>
      <c r="Y81">
        <v>114.3</v>
      </c>
      <c r="Z81">
        <v>108.4</v>
      </c>
      <c r="AA81">
        <v>115.4</v>
      </c>
      <c r="AB81">
        <v>120.6</v>
      </c>
      <c r="AC81">
        <v>111.3</v>
      </c>
      <c r="AD81">
        <v>113.8</v>
      </c>
      <c r="AE81">
        <v>119.1</v>
      </c>
      <c r="AF81" t="str">
        <f>IF(AND(CPI_Data[[#This Row],[Date]]&gt;=DATE(2019,3,1),CPI_Data[[#This Row],[Date]]&lt;DATE(2020,3,1)),"Pre-COVID",IF(AND(CPI_Data[[#This Row],[Date]]&gt;=DATE(2020,3,1),CPI_Data[[#This Row],[Date]]&lt;DATE(2021,3,1)),"Post-COVID",""))</f>
        <v/>
      </c>
    </row>
    <row r="82" spans="1:32" hidden="1" x14ac:dyDescent="0.25">
      <c r="A82" t="s">
        <v>34</v>
      </c>
      <c r="B82">
        <v>2015</v>
      </c>
      <c r="C82" s="1" t="s">
        <v>36</v>
      </c>
      <c r="D82" s="2">
        <f>DATE(CPI_Data[[#This Row],[Year]],MATCH(CPI_Data[[#This Row],[Month]],{"January","February","March","April","May","June","July","August","September","October","November","December"},0),1)</f>
        <v>42064</v>
      </c>
      <c r="E82">
        <v>123.5</v>
      </c>
      <c r="F82">
        <v>125.4</v>
      </c>
      <c r="G82">
        <v>116.8</v>
      </c>
      <c r="H82">
        <v>126</v>
      </c>
      <c r="I82">
        <v>109.2</v>
      </c>
      <c r="J82">
        <v>127.6</v>
      </c>
      <c r="K82">
        <v>129.19999999999999</v>
      </c>
      <c r="L82">
        <v>122.4</v>
      </c>
      <c r="M82">
        <v>97</v>
      </c>
      <c r="N82">
        <v>122.1</v>
      </c>
      <c r="O82">
        <v>118.1</v>
      </c>
      <c r="P82">
        <v>128.4</v>
      </c>
      <c r="Q82">
        <v>123.4</v>
      </c>
      <c r="R82">
        <v>125.8</v>
      </c>
      <c r="S82">
        <v>124.3</v>
      </c>
      <c r="T82">
        <v>120.4</v>
      </c>
      <c r="U82">
        <v>123.7</v>
      </c>
      <c r="V82">
        <v>118.6</v>
      </c>
      <c r="W82">
        <v>118.3</v>
      </c>
      <c r="X82">
        <v>119.2</v>
      </c>
      <c r="Y82">
        <v>116.7</v>
      </c>
      <c r="Z82">
        <v>109.9</v>
      </c>
      <c r="AA82">
        <v>115.4</v>
      </c>
      <c r="AB82">
        <v>120.1</v>
      </c>
      <c r="AC82">
        <v>111</v>
      </c>
      <c r="AD82">
        <v>114.7</v>
      </c>
      <c r="AE82">
        <v>120.2</v>
      </c>
      <c r="AF82" t="str">
        <f>IF(AND(CPI_Data[[#This Row],[Date]]&gt;=DATE(2019,3,1),CPI_Data[[#This Row],[Date]]&lt;DATE(2020,3,1)),"Pre-COVID",IF(AND(CPI_Data[[#This Row],[Date]]&gt;=DATE(2020,3,1),CPI_Data[[#This Row],[Date]]&lt;DATE(2021,3,1)),"Post-COVID",""))</f>
        <v/>
      </c>
    </row>
    <row r="83" spans="1:32" hidden="1" x14ac:dyDescent="0.25">
      <c r="A83" t="s">
        <v>30</v>
      </c>
      <c r="B83">
        <v>2015</v>
      </c>
      <c r="C83" s="1" t="s">
        <v>37</v>
      </c>
      <c r="D83" s="2">
        <f>DATE(CPI_Data[[#This Row],[Year]],MATCH(CPI_Data[[#This Row],[Month]],{"January","February","March","April","May","June","July","August","September","October","November","December"},0),1)</f>
        <v>42095</v>
      </c>
      <c r="E83">
        <v>123.3</v>
      </c>
      <c r="F83">
        <v>125.5</v>
      </c>
      <c r="G83">
        <v>117.2</v>
      </c>
      <c r="H83">
        <v>126.8</v>
      </c>
      <c r="I83">
        <v>111.9</v>
      </c>
      <c r="J83">
        <v>134.19999999999999</v>
      </c>
      <c r="K83">
        <v>127.5</v>
      </c>
      <c r="L83">
        <v>121.5</v>
      </c>
      <c r="M83">
        <v>97.8</v>
      </c>
      <c r="N83">
        <v>119.8</v>
      </c>
      <c r="O83">
        <v>119.4</v>
      </c>
      <c r="P83">
        <v>128.69999999999999</v>
      </c>
      <c r="Q83">
        <v>123.6</v>
      </c>
      <c r="R83">
        <v>125.7</v>
      </c>
      <c r="S83">
        <v>126.4</v>
      </c>
      <c r="T83">
        <v>123.3</v>
      </c>
      <c r="U83">
        <v>126</v>
      </c>
      <c r="V83" t="s">
        <v>32</v>
      </c>
      <c r="W83">
        <v>121.2</v>
      </c>
      <c r="X83">
        <v>120.9</v>
      </c>
      <c r="Y83">
        <v>118.6</v>
      </c>
      <c r="Z83">
        <v>111.9</v>
      </c>
      <c r="AA83">
        <v>116.2</v>
      </c>
      <c r="AB83">
        <v>119.9</v>
      </c>
      <c r="AC83">
        <v>111.6</v>
      </c>
      <c r="AD83">
        <v>116</v>
      </c>
      <c r="AE83">
        <v>121.5</v>
      </c>
      <c r="AF83" t="str">
        <f>IF(AND(CPI_Data[[#This Row],[Date]]&gt;=DATE(2019,3,1),CPI_Data[[#This Row],[Date]]&lt;DATE(2020,3,1)),"Pre-COVID",IF(AND(CPI_Data[[#This Row],[Date]]&gt;=DATE(2020,3,1),CPI_Data[[#This Row],[Date]]&lt;DATE(2021,3,1)),"Post-COVID",""))</f>
        <v/>
      </c>
    </row>
    <row r="84" spans="1:32" hidden="1" x14ac:dyDescent="0.25">
      <c r="A84" t="s">
        <v>33</v>
      </c>
      <c r="B84">
        <v>2015</v>
      </c>
      <c r="C84" s="1" t="s">
        <v>37</v>
      </c>
      <c r="D84" s="2">
        <f>DATE(CPI_Data[[#This Row],[Year]],MATCH(CPI_Data[[#This Row],[Month]],{"January","February","March","April","May","June","July","August","September","October","November","December"},0),1)</f>
        <v>42095</v>
      </c>
      <c r="E84">
        <v>123.8</v>
      </c>
      <c r="F84">
        <v>128.19999999999999</v>
      </c>
      <c r="G84">
        <v>110</v>
      </c>
      <c r="H84">
        <v>126.3</v>
      </c>
      <c r="I84">
        <v>104.5</v>
      </c>
      <c r="J84">
        <v>130.6</v>
      </c>
      <c r="K84">
        <v>130.80000000000001</v>
      </c>
      <c r="L84">
        <v>131.30000000000001</v>
      </c>
      <c r="M84">
        <v>91.6</v>
      </c>
      <c r="N84">
        <v>127.7</v>
      </c>
      <c r="O84">
        <v>117.2</v>
      </c>
      <c r="P84">
        <v>129.5</v>
      </c>
      <c r="Q84">
        <v>124.6</v>
      </c>
      <c r="R84">
        <v>130.1</v>
      </c>
      <c r="S84">
        <v>122.1</v>
      </c>
      <c r="T84">
        <v>117.2</v>
      </c>
      <c r="U84">
        <v>121.3</v>
      </c>
      <c r="V84">
        <v>119.2</v>
      </c>
      <c r="W84">
        <v>114.7</v>
      </c>
      <c r="X84">
        <v>118.4</v>
      </c>
      <c r="Y84">
        <v>114.6</v>
      </c>
      <c r="Z84">
        <v>108.4</v>
      </c>
      <c r="AA84">
        <v>115.6</v>
      </c>
      <c r="AB84">
        <v>121.7</v>
      </c>
      <c r="AC84">
        <v>111.8</v>
      </c>
      <c r="AD84">
        <v>114.2</v>
      </c>
      <c r="AE84">
        <v>119.7</v>
      </c>
      <c r="AF84" t="str">
        <f>IF(AND(CPI_Data[[#This Row],[Date]]&gt;=DATE(2019,3,1),CPI_Data[[#This Row],[Date]]&lt;DATE(2020,3,1)),"Pre-COVID",IF(AND(CPI_Data[[#This Row],[Date]]&gt;=DATE(2020,3,1),CPI_Data[[#This Row],[Date]]&lt;DATE(2021,3,1)),"Post-COVID",""))</f>
        <v/>
      </c>
    </row>
    <row r="85" spans="1:32" hidden="1" x14ac:dyDescent="0.25">
      <c r="A85" t="s">
        <v>34</v>
      </c>
      <c r="B85">
        <v>2015</v>
      </c>
      <c r="C85" s="1" t="s">
        <v>37</v>
      </c>
      <c r="D85" s="2">
        <f>DATE(CPI_Data[[#This Row],[Year]],MATCH(CPI_Data[[#This Row],[Month]],{"January","February","March","April","May","June","July","August","September","October","November","December"},0),1)</f>
        <v>42095</v>
      </c>
      <c r="E85">
        <v>123.5</v>
      </c>
      <c r="F85">
        <v>126.4</v>
      </c>
      <c r="G85">
        <v>114.4</v>
      </c>
      <c r="H85">
        <v>126.6</v>
      </c>
      <c r="I85">
        <v>109.2</v>
      </c>
      <c r="J85">
        <v>132.5</v>
      </c>
      <c r="K85">
        <v>128.6</v>
      </c>
      <c r="L85">
        <v>124.8</v>
      </c>
      <c r="M85">
        <v>95.7</v>
      </c>
      <c r="N85">
        <v>122.4</v>
      </c>
      <c r="O85">
        <v>118.5</v>
      </c>
      <c r="P85">
        <v>129.1</v>
      </c>
      <c r="Q85">
        <v>124</v>
      </c>
      <c r="R85">
        <v>126.9</v>
      </c>
      <c r="S85">
        <v>124.7</v>
      </c>
      <c r="T85">
        <v>120.8</v>
      </c>
      <c r="U85">
        <v>124.1</v>
      </c>
      <c r="V85">
        <v>119.2</v>
      </c>
      <c r="W85">
        <v>118.7</v>
      </c>
      <c r="X85">
        <v>119.7</v>
      </c>
      <c r="Y85">
        <v>117.1</v>
      </c>
      <c r="Z85">
        <v>110.1</v>
      </c>
      <c r="AA85">
        <v>115.9</v>
      </c>
      <c r="AB85">
        <v>121</v>
      </c>
      <c r="AC85">
        <v>111.7</v>
      </c>
      <c r="AD85">
        <v>115.1</v>
      </c>
      <c r="AE85">
        <v>120.7</v>
      </c>
      <c r="AF85" t="str">
        <f>IF(AND(CPI_Data[[#This Row],[Date]]&gt;=DATE(2019,3,1),CPI_Data[[#This Row],[Date]]&lt;DATE(2020,3,1)),"Pre-COVID",IF(AND(CPI_Data[[#This Row],[Date]]&gt;=DATE(2020,3,1),CPI_Data[[#This Row],[Date]]&lt;DATE(2021,3,1)),"Post-COVID",""))</f>
        <v/>
      </c>
    </row>
    <row r="86" spans="1:32" hidden="1" x14ac:dyDescent="0.25">
      <c r="A86" t="s">
        <v>30</v>
      </c>
      <c r="B86">
        <v>2015</v>
      </c>
      <c r="C86" s="1" t="s">
        <v>38</v>
      </c>
      <c r="D86" s="2">
        <f>DATE(CPI_Data[[#This Row],[Year]],MATCH(CPI_Data[[#This Row],[Month]],{"January","February","March","April","May","June","July","August","September","October","November","December"},0),1)</f>
        <v>42125</v>
      </c>
      <c r="E86">
        <v>123.5</v>
      </c>
      <c r="F86">
        <v>127.1</v>
      </c>
      <c r="G86">
        <v>117.3</v>
      </c>
      <c r="H86">
        <v>127.7</v>
      </c>
      <c r="I86">
        <v>112.5</v>
      </c>
      <c r="J86">
        <v>134.1</v>
      </c>
      <c r="K86">
        <v>128.5</v>
      </c>
      <c r="L86">
        <v>124.3</v>
      </c>
      <c r="M86">
        <v>97.6</v>
      </c>
      <c r="N86">
        <v>120.7</v>
      </c>
      <c r="O86">
        <v>120.2</v>
      </c>
      <c r="P86">
        <v>129.80000000000001</v>
      </c>
      <c r="Q86">
        <v>124.4</v>
      </c>
      <c r="R86">
        <v>126.7</v>
      </c>
      <c r="S86">
        <v>127.3</v>
      </c>
      <c r="T86">
        <v>124.1</v>
      </c>
      <c r="U86">
        <v>126.8</v>
      </c>
      <c r="V86" t="s">
        <v>32</v>
      </c>
      <c r="W86">
        <v>121.9</v>
      </c>
      <c r="X86">
        <v>121.5</v>
      </c>
      <c r="Y86">
        <v>119.4</v>
      </c>
      <c r="Z86">
        <v>113.3</v>
      </c>
      <c r="AA86">
        <v>116.7</v>
      </c>
      <c r="AB86">
        <v>120.5</v>
      </c>
      <c r="AC86">
        <v>112.3</v>
      </c>
      <c r="AD86">
        <v>116.9</v>
      </c>
      <c r="AE86">
        <v>122.4</v>
      </c>
      <c r="AF86" t="str">
        <f>IF(AND(CPI_Data[[#This Row],[Date]]&gt;=DATE(2019,3,1),CPI_Data[[#This Row],[Date]]&lt;DATE(2020,3,1)),"Pre-COVID",IF(AND(CPI_Data[[#This Row],[Date]]&gt;=DATE(2020,3,1),CPI_Data[[#This Row],[Date]]&lt;DATE(2021,3,1)),"Post-COVID",""))</f>
        <v/>
      </c>
    </row>
    <row r="87" spans="1:32" hidden="1" x14ac:dyDescent="0.25">
      <c r="A87" t="s">
        <v>33</v>
      </c>
      <c r="B87">
        <v>2015</v>
      </c>
      <c r="C87" s="1" t="s">
        <v>38</v>
      </c>
      <c r="D87" s="2">
        <f>DATE(CPI_Data[[#This Row],[Year]],MATCH(CPI_Data[[#This Row],[Month]],{"January","February","March","April","May","June","July","August","September","October","November","December"},0),1)</f>
        <v>42125</v>
      </c>
      <c r="E87">
        <v>123.8</v>
      </c>
      <c r="F87">
        <v>129.69999999999999</v>
      </c>
      <c r="G87">
        <v>111.3</v>
      </c>
      <c r="H87">
        <v>126.6</v>
      </c>
      <c r="I87">
        <v>105.2</v>
      </c>
      <c r="J87">
        <v>130.80000000000001</v>
      </c>
      <c r="K87">
        <v>135.6</v>
      </c>
      <c r="L87">
        <v>142.6</v>
      </c>
      <c r="M87">
        <v>90.8</v>
      </c>
      <c r="N87">
        <v>128.80000000000001</v>
      </c>
      <c r="O87">
        <v>117.7</v>
      </c>
      <c r="P87">
        <v>129.9</v>
      </c>
      <c r="Q87">
        <v>126.1</v>
      </c>
      <c r="R87">
        <v>131.30000000000001</v>
      </c>
      <c r="S87">
        <v>122.4</v>
      </c>
      <c r="T87">
        <v>117.4</v>
      </c>
      <c r="U87">
        <v>121.6</v>
      </c>
      <c r="V87">
        <v>119.6</v>
      </c>
      <c r="W87">
        <v>114.9</v>
      </c>
      <c r="X87">
        <v>118.7</v>
      </c>
      <c r="Y87">
        <v>114.9</v>
      </c>
      <c r="Z87">
        <v>110.8</v>
      </c>
      <c r="AA87">
        <v>116</v>
      </c>
      <c r="AB87">
        <v>122</v>
      </c>
      <c r="AC87">
        <v>112.4</v>
      </c>
      <c r="AD87">
        <v>115.2</v>
      </c>
      <c r="AE87">
        <v>120.7</v>
      </c>
      <c r="AF87" t="str">
        <f>IF(AND(CPI_Data[[#This Row],[Date]]&gt;=DATE(2019,3,1),CPI_Data[[#This Row],[Date]]&lt;DATE(2020,3,1)),"Pre-COVID",IF(AND(CPI_Data[[#This Row],[Date]]&gt;=DATE(2020,3,1),CPI_Data[[#This Row],[Date]]&lt;DATE(2021,3,1)),"Post-COVID",""))</f>
        <v/>
      </c>
    </row>
    <row r="88" spans="1:32" hidden="1" x14ac:dyDescent="0.25">
      <c r="A88" t="s">
        <v>34</v>
      </c>
      <c r="B88">
        <v>2015</v>
      </c>
      <c r="C88" s="1" t="s">
        <v>38</v>
      </c>
      <c r="D88" s="2">
        <f>DATE(CPI_Data[[#This Row],[Year]],MATCH(CPI_Data[[#This Row],[Month]],{"January","February","March","April","May","June","July","August","September","October","November","December"},0),1)</f>
        <v>42125</v>
      </c>
      <c r="E88">
        <v>123.6</v>
      </c>
      <c r="F88">
        <v>128</v>
      </c>
      <c r="G88">
        <v>115</v>
      </c>
      <c r="H88">
        <v>127.3</v>
      </c>
      <c r="I88">
        <v>109.8</v>
      </c>
      <c r="J88">
        <v>132.6</v>
      </c>
      <c r="K88">
        <v>130.9</v>
      </c>
      <c r="L88">
        <v>130.5</v>
      </c>
      <c r="M88">
        <v>95.3</v>
      </c>
      <c r="N88">
        <v>123.4</v>
      </c>
      <c r="O88">
        <v>119.2</v>
      </c>
      <c r="P88">
        <v>129.80000000000001</v>
      </c>
      <c r="Q88">
        <v>125</v>
      </c>
      <c r="R88">
        <v>127.9</v>
      </c>
      <c r="S88">
        <v>125.4</v>
      </c>
      <c r="T88">
        <v>121.3</v>
      </c>
      <c r="U88">
        <v>124.7</v>
      </c>
      <c r="V88">
        <v>119.6</v>
      </c>
      <c r="W88">
        <v>119.2</v>
      </c>
      <c r="X88">
        <v>120.2</v>
      </c>
      <c r="Y88">
        <v>117.7</v>
      </c>
      <c r="Z88">
        <v>112</v>
      </c>
      <c r="AA88">
        <v>116.3</v>
      </c>
      <c r="AB88">
        <v>121.4</v>
      </c>
      <c r="AC88">
        <v>112.3</v>
      </c>
      <c r="AD88">
        <v>116.1</v>
      </c>
      <c r="AE88">
        <v>121.6</v>
      </c>
      <c r="AF88" t="str">
        <f>IF(AND(CPI_Data[[#This Row],[Date]]&gt;=DATE(2019,3,1),CPI_Data[[#This Row],[Date]]&lt;DATE(2020,3,1)),"Pre-COVID",IF(AND(CPI_Data[[#This Row],[Date]]&gt;=DATE(2020,3,1),CPI_Data[[#This Row],[Date]]&lt;DATE(2021,3,1)),"Post-COVID",""))</f>
        <v/>
      </c>
    </row>
    <row r="89" spans="1:32" hidden="1" x14ac:dyDescent="0.25">
      <c r="A89" t="s">
        <v>30</v>
      </c>
      <c r="B89">
        <v>2015</v>
      </c>
      <c r="C89" s="1" t="s">
        <v>39</v>
      </c>
      <c r="D89" s="2">
        <f>DATE(CPI_Data[[#This Row],[Year]],MATCH(CPI_Data[[#This Row],[Month]],{"January","February","March","April","May","June","July","August","September","October","November","December"},0),1)</f>
        <v>42156</v>
      </c>
      <c r="E89">
        <v>124.1</v>
      </c>
      <c r="F89">
        <v>130.4</v>
      </c>
      <c r="G89">
        <v>122.1</v>
      </c>
      <c r="H89">
        <v>128.69999999999999</v>
      </c>
      <c r="I89">
        <v>114.1</v>
      </c>
      <c r="J89">
        <v>133.19999999999999</v>
      </c>
      <c r="K89">
        <v>135.19999999999999</v>
      </c>
      <c r="L89">
        <v>131.9</v>
      </c>
      <c r="M89">
        <v>96.3</v>
      </c>
      <c r="N89">
        <v>123</v>
      </c>
      <c r="O89">
        <v>121.1</v>
      </c>
      <c r="P89">
        <v>131.19999999999999</v>
      </c>
      <c r="Q89">
        <v>126.6</v>
      </c>
      <c r="R89">
        <v>128.19999999999999</v>
      </c>
      <c r="S89">
        <v>128.4</v>
      </c>
      <c r="T89">
        <v>125.1</v>
      </c>
      <c r="U89">
        <v>128</v>
      </c>
      <c r="V89" t="s">
        <v>32</v>
      </c>
      <c r="W89">
        <v>122.6</v>
      </c>
      <c r="X89">
        <v>122.8</v>
      </c>
      <c r="Y89">
        <v>120.4</v>
      </c>
      <c r="Z89">
        <v>114.2</v>
      </c>
      <c r="AA89">
        <v>117.9</v>
      </c>
      <c r="AB89">
        <v>122</v>
      </c>
      <c r="AC89">
        <v>113</v>
      </c>
      <c r="AD89">
        <v>117.9</v>
      </c>
      <c r="AE89">
        <v>124.1</v>
      </c>
      <c r="AF89" t="str">
        <f>IF(AND(CPI_Data[[#This Row],[Date]]&gt;=DATE(2019,3,1),CPI_Data[[#This Row],[Date]]&lt;DATE(2020,3,1)),"Pre-COVID",IF(AND(CPI_Data[[#This Row],[Date]]&gt;=DATE(2020,3,1),CPI_Data[[#This Row],[Date]]&lt;DATE(2021,3,1)),"Post-COVID",""))</f>
        <v/>
      </c>
    </row>
    <row r="90" spans="1:32" hidden="1" x14ac:dyDescent="0.25">
      <c r="A90" t="s">
        <v>33</v>
      </c>
      <c r="B90">
        <v>2015</v>
      </c>
      <c r="C90" s="1" t="s">
        <v>39</v>
      </c>
      <c r="D90" s="2">
        <f>DATE(CPI_Data[[#This Row],[Year]],MATCH(CPI_Data[[#This Row],[Month]],{"January","February","March","April","May","June","July","August","September","October","November","December"},0),1)</f>
        <v>42156</v>
      </c>
      <c r="E90">
        <v>123.6</v>
      </c>
      <c r="F90">
        <v>134.4</v>
      </c>
      <c r="G90">
        <v>120.9</v>
      </c>
      <c r="H90">
        <v>127.3</v>
      </c>
      <c r="I90">
        <v>106</v>
      </c>
      <c r="J90">
        <v>132.30000000000001</v>
      </c>
      <c r="K90">
        <v>146.69999999999999</v>
      </c>
      <c r="L90">
        <v>148.1</v>
      </c>
      <c r="M90">
        <v>89.8</v>
      </c>
      <c r="N90">
        <v>130.5</v>
      </c>
      <c r="O90">
        <v>118</v>
      </c>
      <c r="P90">
        <v>130.5</v>
      </c>
      <c r="Q90">
        <v>128.5</v>
      </c>
      <c r="R90">
        <v>132.1</v>
      </c>
      <c r="S90">
        <v>123.2</v>
      </c>
      <c r="T90">
        <v>117.6</v>
      </c>
      <c r="U90">
        <v>122.3</v>
      </c>
      <c r="V90">
        <v>119</v>
      </c>
      <c r="W90">
        <v>115.1</v>
      </c>
      <c r="X90">
        <v>119.2</v>
      </c>
      <c r="Y90">
        <v>115.4</v>
      </c>
      <c r="Z90">
        <v>111.7</v>
      </c>
      <c r="AA90">
        <v>116.2</v>
      </c>
      <c r="AB90">
        <v>123.8</v>
      </c>
      <c r="AC90">
        <v>112.5</v>
      </c>
      <c r="AD90">
        <v>116</v>
      </c>
      <c r="AE90">
        <v>121.7</v>
      </c>
      <c r="AF90" t="str">
        <f>IF(AND(CPI_Data[[#This Row],[Date]]&gt;=DATE(2019,3,1),CPI_Data[[#This Row],[Date]]&lt;DATE(2020,3,1)),"Pre-COVID",IF(AND(CPI_Data[[#This Row],[Date]]&gt;=DATE(2020,3,1),CPI_Data[[#This Row],[Date]]&lt;DATE(2021,3,1)),"Post-COVID",""))</f>
        <v/>
      </c>
    </row>
    <row r="91" spans="1:32" hidden="1" x14ac:dyDescent="0.25">
      <c r="A91" t="s">
        <v>34</v>
      </c>
      <c r="B91">
        <v>2015</v>
      </c>
      <c r="C91" s="1" t="s">
        <v>39</v>
      </c>
      <c r="D91" s="2">
        <f>DATE(CPI_Data[[#This Row],[Year]],MATCH(CPI_Data[[#This Row],[Month]],{"January","February","March","April","May","June","July","August","September","October","November","December"},0),1)</f>
        <v>42156</v>
      </c>
      <c r="E91">
        <v>123.9</v>
      </c>
      <c r="F91">
        <v>131.80000000000001</v>
      </c>
      <c r="G91">
        <v>121.6</v>
      </c>
      <c r="H91">
        <v>128.19999999999999</v>
      </c>
      <c r="I91">
        <v>111.1</v>
      </c>
      <c r="J91">
        <v>132.80000000000001</v>
      </c>
      <c r="K91">
        <v>139.1</v>
      </c>
      <c r="L91">
        <v>137.4</v>
      </c>
      <c r="M91">
        <v>94.1</v>
      </c>
      <c r="N91">
        <v>125.5</v>
      </c>
      <c r="O91">
        <v>119.8</v>
      </c>
      <c r="P91">
        <v>130.9</v>
      </c>
      <c r="Q91">
        <v>127.3</v>
      </c>
      <c r="R91">
        <v>129.19999999999999</v>
      </c>
      <c r="S91">
        <v>126.4</v>
      </c>
      <c r="T91">
        <v>122</v>
      </c>
      <c r="U91">
        <v>125.7</v>
      </c>
      <c r="V91">
        <v>119</v>
      </c>
      <c r="W91">
        <v>119.8</v>
      </c>
      <c r="X91">
        <v>121.1</v>
      </c>
      <c r="Y91">
        <v>118.5</v>
      </c>
      <c r="Z91">
        <v>112.9</v>
      </c>
      <c r="AA91">
        <v>116.9</v>
      </c>
      <c r="AB91">
        <v>123.1</v>
      </c>
      <c r="AC91">
        <v>112.8</v>
      </c>
      <c r="AD91">
        <v>117</v>
      </c>
      <c r="AE91">
        <v>123</v>
      </c>
      <c r="AF91" t="str">
        <f>IF(AND(CPI_Data[[#This Row],[Date]]&gt;=DATE(2019,3,1),CPI_Data[[#This Row],[Date]]&lt;DATE(2020,3,1)),"Pre-COVID",IF(AND(CPI_Data[[#This Row],[Date]]&gt;=DATE(2020,3,1),CPI_Data[[#This Row],[Date]]&lt;DATE(2021,3,1)),"Post-COVID",""))</f>
        <v/>
      </c>
    </row>
    <row r="92" spans="1:32" hidden="1" x14ac:dyDescent="0.25">
      <c r="A92" t="s">
        <v>30</v>
      </c>
      <c r="B92">
        <v>2015</v>
      </c>
      <c r="C92" s="1" t="s">
        <v>40</v>
      </c>
      <c r="D92" s="2">
        <f>DATE(CPI_Data[[#This Row],[Year]],MATCH(CPI_Data[[#This Row],[Month]],{"January","February","March","April","May","June","July","August","September","October","November","December"},0),1)</f>
        <v>42186</v>
      </c>
      <c r="E92">
        <v>124</v>
      </c>
      <c r="F92">
        <v>131.5</v>
      </c>
      <c r="G92">
        <v>122</v>
      </c>
      <c r="H92">
        <v>128.69999999999999</v>
      </c>
      <c r="I92">
        <v>113.5</v>
      </c>
      <c r="J92">
        <v>133.30000000000001</v>
      </c>
      <c r="K92">
        <v>140.80000000000001</v>
      </c>
      <c r="L92">
        <v>133.80000000000001</v>
      </c>
      <c r="M92">
        <v>94.1</v>
      </c>
      <c r="N92">
        <v>123.4</v>
      </c>
      <c r="O92">
        <v>121</v>
      </c>
      <c r="P92">
        <v>131.69999999999999</v>
      </c>
      <c r="Q92">
        <v>127.5</v>
      </c>
      <c r="R92">
        <v>129.4</v>
      </c>
      <c r="S92">
        <v>128.80000000000001</v>
      </c>
      <c r="T92">
        <v>125.5</v>
      </c>
      <c r="U92">
        <v>128.30000000000001</v>
      </c>
      <c r="V92" t="s">
        <v>32</v>
      </c>
      <c r="W92">
        <v>123</v>
      </c>
      <c r="X92">
        <v>123</v>
      </c>
      <c r="Y92">
        <v>120.8</v>
      </c>
      <c r="Z92">
        <v>114.1</v>
      </c>
      <c r="AA92">
        <v>118</v>
      </c>
      <c r="AB92">
        <v>122.9</v>
      </c>
      <c r="AC92">
        <v>112.7</v>
      </c>
      <c r="AD92">
        <v>118.1</v>
      </c>
      <c r="AE92">
        <v>124.7</v>
      </c>
      <c r="AF92" t="str">
        <f>IF(AND(CPI_Data[[#This Row],[Date]]&gt;=DATE(2019,3,1),CPI_Data[[#This Row],[Date]]&lt;DATE(2020,3,1)),"Pre-COVID",IF(AND(CPI_Data[[#This Row],[Date]]&gt;=DATE(2020,3,1),CPI_Data[[#This Row],[Date]]&lt;DATE(2021,3,1)),"Post-COVID",""))</f>
        <v/>
      </c>
    </row>
    <row r="93" spans="1:32" hidden="1" x14ac:dyDescent="0.25">
      <c r="A93" t="s">
        <v>33</v>
      </c>
      <c r="B93">
        <v>2015</v>
      </c>
      <c r="C93" s="1" t="s">
        <v>40</v>
      </c>
      <c r="D93" s="2">
        <f>DATE(CPI_Data[[#This Row],[Year]],MATCH(CPI_Data[[#This Row],[Month]],{"January","February","March","April","May","June","July","August","September","October","November","December"},0),1)</f>
        <v>42186</v>
      </c>
      <c r="E93">
        <v>123.2</v>
      </c>
      <c r="F93">
        <v>134.30000000000001</v>
      </c>
      <c r="G93">
        <v>119.5</v>
      </c>
      <c r="H93">
        <v>127.7</v>
      </c>
      <c r="I93">
        <v>106.3</v>
      </c>
      <c r="J93">
        <v>132.80000000000001</v>
      </c>
      <c r="K93">
        <v>153.5</v>
      </c>
      <c r="L93">
        <v>149.5</v>
      </c>
      <c r="M93">
        <v>85.7</v>
      </c>
      <c r="N93">
        <v>131.5</v>
      </c>
      <c r="O93">
        <v>118.3</v>
      </c>
      <c r="P93">
        <v>131.1</v>
      </c>
      <c r="Q93">
        <v>129.5</v>
      </c>
      <c r="R93">
        <v>133.1</v>
      </c>
      <c r="S93">
        <v>123.5</v>
      </c>
      <c r="T93">
        <v>117.9</v>
      </c>
      <c r="U93">
        <v>122.7</v>
      </c>
      <c r="V93">
        <v>119.9</v>
      </c>
      <c r="W93">
        <v>115.3</v>
      </c>
      <c r="X93">
        <v>119.5</v>
      </c>
      <c r="Y93">
        <v>116</v>
      </c>
      <c r="Z93">
        <v>111.5</v>
      </c>
      <c r="AA93">
        <v>116.6</v>
      </c>
      <c r="AB93">
        <v>125.4</v>
      </c>
      <c r="AC93">
        <v>111.7</v>
      </c>
      <c r="AD93">
        <v>116.3</v>
      </c>
      <c r="AE93">
        <v>122.4</v>
      </c>
      <c r="AF93" t="str">
        <f>IF(AND(CPI_Data[[#This Row],[Date]]&gt;=DATE(2019,3,1),CPI_Data[[#This Row],[Date]]&lt;DATE(2020,3,1)),"Pre-COVID",IF(AND(CPI_Data[[#This Row],[Date]]&gt;=DATE(2020,3,1),CPI_Data[[#This Row],[Date]]&lt;DATE(2021,3,1)),"Post-COVID",""))</f>
        <v/>
      </c>
    </row>
    <row r="94" spans="1:32" hidden="1" x14ac:dyDescent="0.25">
      <c r="A94" t="s">
        <v>34</v>
      </c>
      <c r="B94">
        <v>2015</v>
      </c>
      <c r="C94" s="1" t="s">
        <v>40</v>
      </c>
      <c r="D94" s="2">
        <f>DATE(CPI_Data[[#This Row],[Year]],MATCH(CPI_Data[[#This Row],[Month]],{"January","February","March","April","May","June","July","August","September","October","November","December"},0),1)</f>
        <v>42186</v>
      </c>
      <c r="E94">
        <v>123.7</v>
      </c>
      <c r="F94">
        <v>132.5</v>
      </c>
      <c r="G94">
        <v>121</v>
      </c>
      <c r="H94">
        <v>128.30000000000001</v>
      </c>
      <c r="I94">
        <v>110.9</v>
      </c>
      <c r="J94">
        <v>133.1</v>
      </c>
      <c r="K94">
        <v>145.1</v>
      </c>
      <c r="L94">
        <v>139.1</v>
      </c>
      <c r="M94">
        <v>91.3</v>
      </c>
      <c r="N94">
        <v>126.1</v>
      </c>
      <c r="O94">
        <v>119.9</v>
      </c>
      <c r="P94">
        <v>131.4</v>
      </c>
      <c r="Q94">
        <v>128.19999999999999</v>
      </c>
      <c r="R94">
        <v>130.4</v>
      </c>
      <c r="S94">
        <v>126.7</v>
      </c>
      <c r="T94">
        <v>122.3</v>
      </c>
      <c r="U94">
        <v>126.1</v>
      </c>
      <c r="V94">
        <v>119.9</v>
      </c>
      <c r="W94">
        <v>120.1</v>
      </c>
      <c r="X94">
        <v>121.3</v>
      </c>
      <c r="Y94">
        <v>119</v>
      </c>
      <c r="Z94">
        <v>112.7</v>
      </c>
      <c r="AA94">
        <v>117.2</v>
      </c>
      <c r="AB94">
        <v>124.4</v>
      </c>
      <c r="AC94">
        <v>112.3</v>
      </c>
      <c r="AD94">
        <v>117.2</v>
      </c>
      <c r="AE94">
        <v>123.6</v>
      </c>
      <c r="AF94" t="str">
        <f>IF(AND(CPI_Data[[#This Row],[Date]]&gt;=DATE(2019,3,1),CPI_Data[[#This Row],[Date]]&lt;DATE(2020,3,1)),"Pre-COVID",IF(AND(CPI_Data[[#This Row],[Date]]&gt;=DATE(2020,3,1),CPI_Data[[#This Row],[Date]]&lt;DATE(2021,3,1)),"Post-COVID",""))</f>
        <v/>
      </c>
    </row>
    <row r="95" spans="1:32" hidden="1" x14ac:dyDescent="0.25">
      <c r="A95" t="s">
        <v>30</v>
      </c>
      <c r="B95">
        <v>2015</v>
      </c>
      <c r="C95" s="1" t="s">
        <v>41</v>
      </c>
      <c r="D95" s="2">
        <f>DATE(CPI_Data[[#This Row],[Year]],MATCH(CPI_Data[[#This Row],[Month]],{"January","February","March","April","May","June","July","August","September","October","November","December"},0),1)</f>
        <v>42217</v>
      </c>
      <c r="E95">
        <v>124.7</v>
      </c>
      <c r="F95">
        <v>131.30000000000001</v>
      </c>
      <c r="G95">
        <v>121.3</v>
      </c>
      <c r="H95">
        <v>128.80000000000001</v>
      </c>
      <c r="I95">
        <v>114</v>
      </c>
      <c r="J95">
        <v>134.19999999999999</v>
      </c>
      <c r="K95">
        <v>153.6</v>
      </c>
      <c r="L95">
        <v>137.9</v>
      </c>
      <c r="M95">
        <v>93.1</v>
      </c>
      <c r="N95">
        <v>123.9</v>
      </c>
      <c r="O95">
        <v>121.5</v>
      </c>
      <c r="P95">
        <v>132.5</v>
      </c>
      <c r="Q95">
        <v>129.80000000000001</v>
      </c>
      <c r="R95">
        <v>130.1</v>
      </c>
      <c r="S95">
        <v>129.5</v>
      </c>
      <c r="T95">
        <v>126.3</v>
      </c>
      <c r="U95">
        <v>129</v>
      </c>
      <c r="V95" t="s">
        <v>32</v>
      </c>
      <c r="W95">
        <v>123.8</v>
      </c>
      <c r="X95">
        <v>123.7</v>
      </c>
      <c r="Y95">
        <v>121.1</v>
      </c>
      <c r="Z95">
        <v>113.6</v>
      </c>
      <c r="AA95">
        <v>118.5</v>
      </c>
      <c r="AB95">
        <v>123.6</v>
      </c>
      <c r="AC95">
        <v>112.5</v>
      </c>
      <c r="AD95">
        <v>118.2</v>
      </c>
      <c r="AE95">
        <v>126.1</v>
      </c>
      <c r="AF95" t="str">
        <f>IF(AND(CPI_Data[[#This Row],[Date]]&gt;=DATE(2019,3,1),CPI_Data[[#This Row],[Date]]&lt;DATE(2020,3,1)),"Pre-COVID",IF(AND(CPI_Data[[#This Row],[Date]]&gt;=DATE(2020,3,1),CPI_Data[[#This Row],[Date]]&lt;DATE(2021,3,1)),"Post-COVID",""))</f>
        <v/>
      </c>
    </row>
    <row r="96" spans="1:32" hidden="1" x14ac:dyDescent="0.25">
      <c r="A96" t="s">
        <v>33</v>
      </c>
      <c r="B96">
        <v>2015</v>
      </c>
      <c r="C96" s="1" t="s">
        <v>41</v>
      </c>
      <c r="D96" s="2">
        <f>DATE(CPI_Data[[#This Row],[Year]],MATCH(CPI_Data[[#This Row],[Month]],{"January","February","March","April","May","June","July","August","September","October","November","December"},0),1)</f>
        <v>42217</v>
      </c>
      <c r="E96">
        <v>123.1</v>
      </c>
      <c r="F96">
        <v>131.69999999999999</v>
      </c>
      <c r="G96">
        <v>118.1</v>
      </c>
      <c r="H96">
        <v>128</v>
      </c>
      <c r="I96">
        <v>106.8</v>
      </c>
      <c r="J96">
        <v>130.1</v>
      </c>
      <c r="K96">
        <v>165.5</v>
      </c>
      <c r="L96">
        <v>156</v>
      </c>
      <c r="M96">
        <v>85.3</v>
      </c>
      <c r="N96">
        <v>132.69999999999999</v>
      </c>
      <c r="O96">
        <v>118.8</v>
      </c>
      <c r="P96">
        <v>131.69999999999999</v>
      </c>
      <c r="Q96">
        <v>131.1</v>
      </c>
      <c r="R96">
        <v>134.19999999999999</v>
      </c>
      <c r="S96">
        <v>123.7</v>
      </c>
      <c r="T96">
        <v>118.2</v>
      </c>
      <c r="U96">
        <v>122.9</v>
      </c>
      <c r="V96">
        <v>120.9</v>
      </c>
      <c r="W96">
        <v>115.3</v>
      </c>
      <c r="X96">
        <v>120</v>
      </c>
      <c r="Y96">
        <v>116.6</v>
      </c>
      <c r="Z96">
        <v>109.9</v>
      </c>
      <c r="AA96">
        <v>117.2</v>
      </c>
      <c r="AB96">
        <v>126.2</v>
      </c>
      <c r="AC96">
        <v>112</v>
      </c>
      <c r="AD96">
        <v>116.2</v>
      </c>
      <c r="AE96">
        <v>123.2</v>
      </c>
      <c r="AF96" t="str">
        <f>IF(AND(CPI_Data[[#This Row],[Date]]&gt;=DATE(2019,3,1),CPI_Data[[#This Row],[Date]]&lt;DATE(2020,3,1)),"Pre-COVID",IF(AND(CPI_Data[[#This Row],[Date]]&gt;=DATE(2020,3,1),CPI_Data[[#This Row],[Date]]&lt;DATE(2021,3,1)),"Post-COVID",""))</f>
        <v/>
      </c>
    </row>
    <row r="97" spans="1:32" hidden="1" x14ac:dyDescent="0.25">
      <c r="A97" t="s">
        <v>34</v>
      </c>
      <c r="B97">
        <v>2015</v>
      </c>
      <c r="C97" s="1" t="s">
        <v>41</v>
      </c>
      <c r="D97" s="2">
        <f>DATE(CPI_Data[[#This Row],[Year]],MATCH(CPI_Data[[#This Row],[Month]],{"January","February","March","April","May","June","July","August","September","October","November","December"},0),1)</f>
        <v>42217</v>
      </c>
      <c r="E97">
        <v>124.2</v>
      </c>
      <c r="F97">
        <v>131.4</v>
      </c>
      <c r="G97">
        <v>120.1</v>
      </c>
      <c r="H97">
        <v>128.5</v>
      </c>
      <c r="I97">
        <v>111.4</v>
      </c>
      <c r="J97">
        <v>132.30000000000001</v>
      </c>
      <c r="K97">
        <v>157.6</v>
      </c>
      <c r="L97">
        <v>144</v>
      </c>
      <c r="M97">
        <v>90.5</v>
      </c>
      <c r="N97">
        <v>126.8</v>
      </c>
      <c r="O97">
        <v>120.4</v>
      </c>
      <c r="P97">
        <v>132.1</v>
      </c>
      <c r="Q97">
        <v>130.30000000000001</v>
      </c>
      <c r="R97">
        <v>131.19999999999999</v>
      </c>
      <c r="S97">
        <v>127.2</v>
      </c>
      <c r="T97">
        <v>122.9</v>
      </c>
      <c r="U97">
        <v>126.6</v>
      </c>
      <c r="V97">
        <v>120.9</v>
      </c>
      <c r="W97">
        <v>120.6</v>
      </c>
      <c r="X97">
        <v>122</v>
      </c>
      <c r="Y97">
        <v>119.4</v>
      </c>
      <c r="Z97">
        <v>111.7</v>
      </c>
      <c r="AA97">
        <v>117.8</v>
      </c>
      <c r="AB97">
        <v>125.1</v>
      </c>
      <c r="AC97">
        <v>112.3</v>
      </c>
      <c r="AD97">
        <v>117.2</v>
      </c>
      <c r="AE97">
        <v>124.8</v>
      </c>
      <c r="AF97" t="str">
        <f>IF(AND(CPI_Data[[#This Row],[Date]]&gt;=DATE(2019,3,1),CPI_Data[[#This Row],[Date]]&lt;DATE(2020,3,1)),"Pre-COVID",IF(AND(CPI_Data[[#This Row],[Date]]&gt;=DATE(2020,3,1),CPI_Data[[#This Row],[Date]]&lt;DATE(2021,3,1)),"Post-COVID",""))</f>
        <v/>
      </c>
    </row>
    <row r="98" spans="1:32" hidden="1" x14ac:dyDescent="0.25">
      <c r="A98" t="s">
        <v>30</v>
      </c>
      <c r="B98">
        <v>2015</v>
      </c>
      <c r="C98" s="1" t="s">
        <v>42</v>
      </c>
      <c r="D98" s="2">
        <f>DATE(CPI_Data[[#This Row],[Year]],MATCH(CPI_Data[[#This Row],[Month]],{"January","February","March","April","May","June","July","August","September","October","November","December"},0),1)</f>
        <v>42248</v>
      </c>
      <c r="E98">
        <v>125.1</v>
      </c>
      <c r="F98">
        <v>131.1</v>
      </c>
      <c r="G98">
        <v>120.7</v>
      </c>
      <c r="H98">
        <v>129.19999999999999</v>
      </c>
      <c r="I98">
        <v>114.7</v>
      </c>
      <c r="J98">
        <v>132.30000000000001</v>
      </c>
      <c r="K98">
        <v>158.9</v>
      </c>
      <c r="L98">
        <v>142.1</v>
      </c>
      <c r="M98">
        <v>92.5</v>
      </c>
      <c r="N98">
        <v>125.4</v>
      </c>
      <c r="O98">
        <v>121.9</v>
      </c>
      <c r="P98">
        <v>132.69999999999999</v>
      </c>
      <c r="Q98">
        <v>131</v>
      </c>
      <c r="R98">
        <v>131</v>
      </c>
      <c r="S98">
        <v>130.4</v>
      </c>
      <c r="T98">
        <v>126.8</v>
      </c>
      <c r="U98">
        <v>129.9</v>
      </c>
      <c r="V98" t="s">
        <v>32</v>
      </c>
      <c r="W98">
        <v>123.7</v>
      </c>
      <c r="X98">
        <v>124.5</v>
      </c>
      <c r="Y98">
        <v>121.4</v>
      </c>
      <c r="Z98">
        <v>113.8</v>
      </c>
      <c r="AA98">
        <v>119.6</v>
      </c>
      <c r="AB98">
        <v>124.5</v>
      </c>
      <c r="AC98">
        <v>113.7</v>
      </c>
      <c r="AD98">
        <v>118.8</v>
      </c>
      <c r="AE98">
        <v>127</v>
      </c>
      <c r="AF98" t="str">
        <f>IF(AND(CPI_Data[[#This Row],[Date]]&gt;=DATE(2019,3,1),CPI_Data[[#This Row],[Date]]&lt;DATE(2020,3,1)),"Pre-COVID",IF(AND(CPI_Data[[#This Row],[Date]]&gt;=DATE(2020,3,1),CPI_Data[[#This Row],[Date]]&lt;DATE(2021,3,1)),"Post-COVID",""))</f>
        <v/>
      </c>
    </row>
    <row r="99" spans="1:32" hidden="1" x14ac:dyDescent="0.25">
      <c r="A99" t="s">
        <v>33</v>
      </c>
      <c r="B99">
        <v>2015</v>
      </c>
      <c r="C99" s="1" t="s">
        <v>42</v>
      </c>
      <c r="D99" s="2">
        <f>DATE(CPI_Data[[#This Row],[Year]],MATCH(CPI_Data[[#This Row],[Month]],{"January","February","March","April","May","June","July","August","September","October","November","December"},0),1)</f>
        <v>42248</v>
      </c>
      <c r="E99">
        <v>123.4</v>
      </c>
      <c r="F99">
        <v>129</v>
      </c>
      <c r="G99">
        <v>115.6</v>
      </c>
      <c r="H99">
        <v>128.30000000000001</v>
      </c>
      <c r="I99">
        <v>107</v>
      </c>
      <c r="J99">
        <v>124</v>
      </c>
      <c r="K99">
        <v>168.5</v>
      </c>
      <c r="L99">
        <v>165.4</v>
      </c>
      <c r="M99">
        <v>86.3</v>
      </c>
      <c r="N99">
        <v>134.4</v>
      </c>
      <c r="O99">
        <v>119.1</v>
      </c>
      <c r="P99">
        <v>132.30000000000001</v>
      </c>
      <c r="Q99">
        <v>131.5</v>
      </c>
      <c r="R99">
        <v>134.69999999999999</v>
      </c>
      <c r="S99">
        <v>124</v>
      </c>
      <c r="T99">
        <v>118.6</v>
      </c>
      <c r="U99">
        <v>123.2</v>
      </c>
      <c r="V99">
        <v>121.6</v>
      </c>
      <c r="W99">
        <v>115.1</v>
      </c>
      <c r="X99">
        <v>120.4</v>
      </c>
      <c r="Y99">
        <v>117.1</v>
      </c>
      <c r="Z99">
        <v>109.1</v>
      </c>
      <c r="AA99">
        <v>117.3</v>
      </c>
      <c r="AB99">
        <v>126.5</v>
      </c>
      <c r="AC99">
        <v>112.9</v>
      </c>
      <c r="AD99">
        <v>116.2</v>
      </c>
      <c r="AE99">
        <v>123.5</v>
      </c>
      <c r="AF99" t="str">
        <f>IF(AND(CPI_Data[[#This Row],[Date]]&gt;=DATE(2019,3,1),CPI_Data[[#This Row],[Date]]&lt;DATE(2020,3,1)),"Pre-COVID",IF(AND(CPI_Data[[#This Row],[Date]]&gt;=DATE(2020,3,1),CPI_Data[[#This Row],[Date]]&lt;DATE(2021,3,1)),"Post-COVID",""))</f>
        <v/>
      </c>
    </row>
    <row r="100" spans="1:32" hidden="1" x14ac:dyDescent="0.25">
      <c r="A100" t="s">
        <v>34</v>
      </c>
      <c r="B100">
        <v>2015</v>
      </c>
      <c r="C100" s="1" t="s">
        <v>42</v>
      </c>
      <c r="D100" s="2">
        <f>DATE(CPI_Data[[#This Row],[Year]],MATCH(CPI_Data[[#This Row],[Month]],{"January","February","March","April","May","June","July","August","September","October","November","December"},0),1)</f>
        <v>42248</v>
      </c>
      <c r="E100">
        <v>124.6</v>
      </c>
      <c r="F100">
        <v>130.4</v>
      </c>
      <c r="G100">
        <v>118.7</v>
      </c>
      <c r="H100">
        <v>128.9</v>
      </c>
      <c r="I100">
        <v>111.9</v>
      </c>
      <c r="J100">
        <v>128.4</v>
      </c>
      <c r="K100">
        <v>162.19999999999999</v>
      </c>
      <c r="L100">
        <v>150</v>
      </c>
      <c r="M100">
        <v>90.4</v>
      </c>
      <c r="N100">
        <v>128.4</v>
      </c>
      <c r="O100">
        <v>120.7</v>
      </c>
      <c r="P100">
        <v>132.5</v>
      </c>
      <c r="Q100">
        <v>131.19999999999999</v>
      </c>
      <c r="R100">
        <v>132</v>
      </c>
      <c r="S100">
        <v>127.9</v>
      </c>
      <c r="T100">
        <v>123.4</v>
      </c>
      <c r="U100">
        <v>127.2</v>
      </c>
      <c r="V100">
        <v>121.6</v>
      </c>
      <c r="W100">
        <v>120.4</v>
      </c>
      <c r="X100">
        <v>122.6</v>
      </c>
      <c r="Y100">
        <v>119.8</v>
      </c>
      <c r="Z100">
        <v>111.3</v>
      </c>
      <c r="AA100">
        <v>118.3</v>
      </c>
      <c r="AB100">
        <v>125.7</v>
      </c>
      <c r="AC100">
        <v>113.4</v>
      </c>
      <c r="AD100">
        <v>117.5</v>
      </c>
      <c r="AE100">
        <v>125.4</v>
      </c>
      <c r="AF100" t="str">
        <f>IF(AND(CPI_Data[[#This Row],[Date]]&gt;=DATE(2019,3,1),CPI_Data[[#This Row],[Date]]&lt;DATE(2020,3,1)),"Pre-COVID",IF(AND(CPI_Data[[#This Row],[Date]]&gt;=DATE(2020,3,1),CPI_Data[[#This Row],[Date]]&lt;DATE(2021,3,1)),"Post-COVID",""))</f>
        <v/>
      </c>
    </row>
    <row r="101" spans="1:32" hidden="1" x14ac:dyDescent="0.25">
      <c r="A101" t="s">
        <v>30</v>
      </c>
      <c r="B101">
        <v>2015</v>
      </c>
      <c r="C101" s="1" t="s">
        <v>43</v>
      </c>
      <c r="D101" s="2">
        <f>DATE(CPI_Data[[#This Row],[Year]],MATCH(CPI_Data[[#This Row],[Month]],{"January","February","March","April","May","June","July","August","September","October","November","December"},0),1)</f>
        <v>42278</v>
      </c>
      <c r="E101">
        <v>125.6</v>
      </c>
      <c r="F101">
        <v>130.4</v>
      </c>
      <c r="G101">
        <v>120.8</v>
      </c>
      <c r="H101">
        <v>129.4</v>
      </c>
      <c r="I101">
        <v>115.8</v>
      </c>
      <c r="J101">
        <v>133.19999999999999</v>
      </c>
      <c r="K101">
        <v>157.69999999999999</v>
      </c>
      <c r="L101">
        <v>154.19999999999999</v>
      </c>
      <c r="M101">
        <v>93.7</v>
      </c>
      <c r="N101">
        <v>126.6</v>
      </c>
      <c r="O101">
        <v>122.3</v>
      </c>
      <c r="P101">
        <v>133.1</v>
      </c>
      <c r="Q101">
        <v>131.80000000000001</v>
      </c>
      <c r="R101">
        <v>131.5</v>
      </c>
      <c r="S101">
        <v>131.1</v>
      </c>
      <c r="T101">
        <v>127.3</v>
      </c>
      <c r="U101">
        <v>130.6</v>
      </c>
      <c r="V101" t="s">
        <v>32</v>
      </c>
      <c r="W101">
        <v>124.4</v>
      </c>
      <c r="X101">
        <v>125.1</v>
      </c>
      <c r="Y101">
        <v>122</v>
      </c>
      <c r="Z101">
        <v>113.8</v>
      </c>
      <c r="AA101">
        <v>120.1</v>
      </c>
      <c r="AB101">
        <v>125.1</v>
      </c>
      <c r="AC101">
        <v>114.2</v>
      </c>
      <c r="AD101">
        <v>119.2</v>
      </c>
      <c r="AE101">
        <v>127.7</v>
      </c>
      <c r="AF101" t="str">
        <f>IF(AND(CPI_Data[[#This Row],[Date]]&gt;=DATE(2019,3,1),CPI_Data[[#This Row],[Date]]&lt;DATE(2020,3,1)),"Pre-COVID",IF(AND(CPI_Data[[#This Row],[Date]]&gt;=DATE(2020,3,1),CPI_Data[[#This Row],[Date]]&lt;DATE(2021,3,1)),"Post-COVID",""))</f>
        <v/>
      </c>
    </row>
    <row r="102" spans="1:32" hidden="1" x14ac:dyDescent="0.25">
      <c r="A102" t="s">
        <v>33</v>
      </c>
      <c r="B102">
        <v>2015</v>
      </c>
      <c r="C102" s="1" t="s">
        <v>43</v>
      </c>
      <c r="D102" s="2">
        <f>DATE(CPI_Data[[#This Row],[Year]],MATCH(CPI_Data[[#This Row],[Month]],{"January","February","March","April","May","June","July","August","September","October","November","December"},0),1)</f>
        <v>42278</v>
      </c>
      <c r="E102">
        <v>123.6</v>
      </c>
      <c r="F102">
        <v>128.6</v>
      </c>
      <c r="G102">
        <v>115.9</v>
      </c>
      <c r="H102">
        <v>128.5</v>
      </c>
      <c r="I102">
        <v>109</v>
      </c>
      <c r="J102">
        <v>124.1</v>
      </c>
      <c r="K102">
        <v>165.8</v>
      </c>
      <c r="L102">
        <v>187.2</v>
      </c>
      <c r="M102">
        <v>89.4</v>
      </c>
      <c r="N102">
        <v>135.80000000000001</v>
      </c>
      <c r="O102">
        <v>119.4</v>
      </c>
      <c r="P102">
        <v>132.9</v>
      </c>
      <c r="Q102">
        <v>132.6</v>
      </c>
      <c r="R102">
        <v>135.30000000000001</v>
      </c>
      <c r="S102">
        <v>124.4</v>
      </c>
      <c r="T102">
        <v>118.8</v>
      </c>
      <c r="U102">
        <v>123.6</v>
      </c>
      <c r="V102">
        <v>122.4</v>
      </c>
      <c r="W102">
        <v>114.9</v>
      </c>
      <c r="X102">
        <v>120.7</v>
      </c>
      <c r="Y102">
        <v>117.7</v>
      </c>
      <c r="Z102">
        <v>109.3</v>
      </c>
      <c r="AA102">
        <v>117.7</v>
      </c>
      <c r="AB102">
        <v>126.5</v>
      </c>
      <c r="AC102">
        <v>113.5</v>
      </c>
      <c r="AD102">
        <v>116.5</v>
      </c>
      <c r="AE102">
        <v>124.2</v>
      </c>
      <c r="AF102" t="str">
        <f>IF(AND(CPI_Data[[#This Row],[Date]]&gt;=DATE(2019,3,1),CPI_Data[[#This Row],[Date]]&lt;DATE(2020,3,1)),"Pre-COVID",IF(AND(CPI_Data[[#This Row],[Date]]&gt;=DATE(2020,3,1),CPI_Data[[#This Row],[Date]]&lt;DATE(2021,3,1)),"Post-COVID",""))</f>
        <v/>
      </c>
    </row>
    <row r="103" spans="1:32" hidden="1" x14ac:dyDescent="0.25">
      <c r="A103" t="s">
        <v>34</v>
      </c>
      <c r="B103">
        <v>2015</v>
      </c>
      <c r="C103" s="1" t="s">
        <v>43</v>
      </c>
      <c r="D103" s="2">
        <f>DATE(CPI_Data[[#This Row],[Year]],MATCH(CPI_Data[[#This Row],[Month]],{"January","February","March","April","May","June","July","August","September","October","November","December"},0),1)</f>
        <v>42278</v>
      </c>
      <c r="E103">
        <v>125</v>
      </c>
      <c r="F103">
        <v>129.80000000000001</v>
      </c>
      <c r="G103">
        <v>118.9</v>
      </c>
      <c r="H103">
        <v>129.1</v>
      </c>
      <c r="I103">
        <v>113.3</v>
      </c>
      <c r="J103">
        <v>129</v>
      </c>
      <c r="K103">
        <v>160.4</v>
      </c>
      <c r="L103">
        <v>165.3</v>
      </c>
      <c r="M103">
        <v>92.3</v>
      </c>
      <c r="N103">
        <v>129.69999999999999</v>
      </c>
      <c r="O103">
        <v>121.1</v>
      </c>
      <c r="P103">
        <v>133</v>
      </c>
      <c r="Q103">
        <v>132.1</v>
      </c>
      <c r="R103">
        <v>132.5</v>
      </c>
      <c r="S103">
        <v>128.5</v>
      </c>
      <c r="T103">
        <v>123.8</v>
      </c>
      <c r="U103">
        <v>127.8</v>
      </c>
      <c r="V103">
        <v>122.4</v>
      </c>
      <c r="W103">
        <v>120.8</v>
      </c>
      <c r="X103">
        <v>123</v>
      </c>
      <c r="Y103">
        <v>120.4</v>
      </c>
      <c r="Z103">
        <v>111.4</v>
      </c>
      <c r="AA103">
        <v>118.7</v>
      </c>
      <c r="AB103">
        <v>125.9</v>
      </c>
      <c r="AC103">
        <v>113.9</v>
      </c>
      <c r="AD103">
        <v>117.9</v>
      </c>
      <c r="AE103">
        <v>126.1</v>
      </c>
      <c r="AF103" t="str">
        <f>IF(AND(CPI_Data[[#This Row],[Date]]&gt;=DATE(2019,3,1),CPI_Data[[#This Row],[Date]]&lt;DATE(2020,3,1)),"Pre-COVID",IF(AND(CPI_Data[[#This Row],[Date]]&gt;=DATE(2020,3,1),CPI_Data[[#This Row],[Date]]&lt;DATE(2021,3,1)),"Post-COVID",""))</f>
        <v/>
      </c>
    </row>
    <row r="104" spans="1:32" hidden="1" x14ac:dyDescent="0.25">
      <c r="A104" t="s">
        <v>30</v>
      </c>
      <c r="B104">
        <v>2015</v>
      </c>
      <c r="C104" s="1" t="s">
        <v>45</v>
      </c>
      <c r="D104" s="2">
        <f>DATE(CPI_Data[[#This Row],[Year]],MATCH(CPI_Data[[#This Row],[Month]],{"January","February","March","April","May","June","July","August","September","October","November","December"},0),1)</f>
        <v>42309</v>
      </c>
      <c r="E104">
        <v>126.1</v>
      </c>
      <c r="F104">
        <v>130.6</v>
      </c>
      <c r="G104">
        <v>121.7</v>
      </c>
      <c r="H104">
        <v>129.5</v>
      </c>
      <c r="I104">
        <v>117.8</v>
      </c>
      <c r="J104">
        <v>132.1</v>
      </c>
      <c r="K104">
        <v>155.19999999999999</v>
      </c>
      <c r="L104">
        <v>160.80000000000001</v>
      </c>
      <c r="M104">
        <v>94.5</v>
      </c>
      <c r="N104">
        <v>128.30000000000001</v>
      </c>
      <c r="O104">
        <v>123.1</v>
      </c>
      <c r="P104">
        <v>134.19999999999999</v>
      </c>
      <c r="Q104">
        <v>132.4</v>
      </c>
      <c r="R104">
        <v>132.19999999999999</v>
      </c>
      <c r="S104">
        <v>132.1</v>
      </c>
      <c r="T104">
        <v>128.19999999999999</v>
      </c>
      <c r="U104">
        <v>131.5</v>
      </c>
      <c r="V104" t="s">
        <v>32</v>
      </c>
      <c r="W104">
        <v>125.6</v>
      </c>
      <c r="X104">
        <v>125.6</v>
      </c>
      <c r="Y104">
        <v>122.6</v>
      </c>
      <c r="Z104">
        <v>114</v>
      </c>
      <c r="AA104">
        <v>120.9</v>
      </c>
      <c r="AB104">
        <v>125.8</v>
      </c>
      <c r="AC104">
        <v>114.2</v>
      </c>
      <c r="AD104">
        <v>119.6</v>
      </c>
      <c r="AE104">
        <v>128.30000000000001</v>
      </c>
      <c r="AF104" t="str">
        <f>IF(AND(CPI_Data[[#This Row],[Date]]&gt;=DATE(2019,3,1),CPI_Data[[#This Row],[Date]]&lt;DATE(2020,3,1)),"Pre-COVID",IF(AND(CPI_Data[[#This Row],[Date]]&gt;=DATE(2020,3,1),CPI_Data[[#This Row],[Date]]&lt;DATE(2021,3,1)),"Post-COVID",""))</f>
        <v/>
      </c>
    </row>
    <row r="105" spans="1:32" hidden="1" x14ac:dyDescent="0.25">
      <c r="A105" t="s">
        <v>33</v>
      </c>
      <c r="B105">
        <v>2015</v>
      </c>
      <c r="C105" s="1" t="s">
        <v>45</v>
      </c>
      <c r="D105" s="2">
        <f>DATE(CPI_Data[[#This Row],[Year]],MATCH(CPI_Data[[#This Row],[Month]],{"January","February","March","April","May","June","July","August","September","October","November","December"},0),1)</f>
        <v>42309</v>
      </c>
      <c r="E105">
        <v>124</v>
      </c>
      <c r="F105">
        <v>129.80000000000001</v>
      </c>
      <c r="G105">
        <v>121.5</v>
      </c>
      <c r="H105">
        <v>128.6</v>
      </c>
      <c r="I105">
        <v>110</v>
      </c>
      <c r="J105">
        <v>123.7</v>
      </c>
      <c r="K105">
        <v>164.6</v>
      </c>
      <c r="L105">
        <v>191.6</v>
      </c>
      <c r="M105">
        <v>90.8</v>
      </c>
      <c r="N105">
        <v>137.1</v>
      </c>
      <c r="O105">
        <v>119.8</v>
      </c>
      <c r="P105">
        <v>133.69999999999999</v>
      </c>
      <c r="Q105">
        <v>133.30000000000001</v>
      </c>
      <c r="R105">
        <v>137.6</v>
      </c>
      <c r="S105">
        <v>125</v>
      </c>
      <c r="T105">
        <v>119.3</v>
      </c>
      <c r="U105">
        <v>124.2</v>
      </c>
      <c r="V105">
        <v>122.9</v>
      </c>
      <c r="W105">
        <v>115.1</v>
      </c>
      <c r="X105">
        <v>121</v>
      </c>
      <c r="Y105">
        <v>118.1</v>
      </c>
      <c r="Z105">
        <v>109.3</v>
      </c>
      <c r="AA105">
        <v>117.9</v>
      </c>
      <c r="AB105">
        <v>126.6</v>
      </c>
      <c r="AC105">
        <v>113.3</v>
      </c>
      <c r="AD105">
        <v>116.6</v>
      </c>
      <c r="AE105">
        <v>124.6</v>
      </c>
      <c r="AF105" t="str">
        <f>IF(AND(CPI_Data[[#This Row],[Date]]&gt;=DATE(2019,3,1),CPI_Data[[#This Row],[Date]]&lt;DATE(2020,3,1)),"Pre-COVID",IF(AND(CPI_Data[[#This Row],[Date]]&gt;=DATE(2020,3,1),CPI_Data[[#This Row],[Date]]&lt;DATE(2021,3,1)),"Post-COVID",""))</f>
        <v/>
      </c>
    </row>
    <row r="106" spans="1:32" hidden="1" x14ac:dyDescent="0.25">
      <c r="A106" t="s">
        <v>34</v>
      </c>
      <c r="B106">
        <v>2015</v>
      </c>
      <c r="C106" s="1" t="s">
        <v>45</v>
      </c>
      <c r="D106" s="2">
        <f>DATE(CPI_Data[[#This Row],[Year]],MATCH(CPI_Data[[#This Row],[Month]],{"January","February","March","April","May","June","July","August","September","October","November","December"},0),1)</f>
        <v>42309</v>
      </c>
      <c r="E106">
        <v>125.4</v>
      </c>
      <c r="F106">
        <v>130.30000000000001</v>
      </c>
      <c r="G106">
        <v>121.6</v>
      </c>
      <c r="H106">
        <v>129.19999999999999</v>
      </c>
      <c r="I106">
        <v>114.9</v>
      </c>
      <c r="J106">
        <v>128.19999999999999</v>
      </c>
      <c r="K106">
        <v>158.4</v>
      </c>
      <c r="L106">
        <v>171.2</v>
      </c>
      <c r="M106">
        <v>93.3</v>
      </c>
      <c r="N106">
        <v>131.19999999999999</v>
      </c>
      <c r="O106">
        <v>121.7</v>
      </c>
      <c r="P106">
        <v>134</v>
      </c>
      <c r="Q106">
        <v>132.69999999999999</v>
      </c>
      <c r="R106">
        <v>133.6</v>
      </c>
      <c r="S106">
        <v>129.30000000000001</v>
      </c>
      <c r="T106">
        <v>124.5</v>
      </c>
      <c r="U106">
        <v>128.6</v>
      </c>
      <c r="V106">
        <v>122.9</v>
      </c>
      <c r="W106">
        <v>121.6</v>
      </c>
      <c r="X106">
        <v>123.4</v>
      </c>
      <c r="Y106">
        <v>120.9</v>
      </c>
      <c r="Z106">
        <v>111.5</v>
      </c>
      <c r="AA106">
        <v>119.2</v>
      </c>
      <c r="AB106">
        <v>126.3</v>
      </c>
      <c r="AC106">
        <v>113.8</v>
      </c>
      <c r="AD106">
        <v>118.1</v>
      </c>
      <c r="AE106">
        <v>126.6</v>
      </c>
      <c r="AF106" t="str">
        <f>IF(AND(CPI_Data[[#This Row],[Date]]&gt;=DATE(2019,3,1),CPI_Data[[#This Row],[Date]]&lt;DATE(2020,3,1)),"Pre-COVID",IF(AND(CPI_Data[[#This Row],[Date]]&gt;=DATE(2020,3,1),CPI_Data[[#This Row],[Date]]&lt;DATE(2021,3,1)),"Post-COVID",""))</f>
        <v/>
      </c>
    </row>
    <row r="107" spans="1:32" hidden="1" x14ac:dyDescent="0.25">
      <c r="A107" t="s">
        <v>30</v>
      </c>
      <c r="B107">
        <v>2015</v>
      </c>
      <c r="C107" s="1" t="s">
        <v>46</v>
      </c>
      <c r="D107" s="2">
        <f>DATE(CPI_Data[[#This Row],[Year]],MATCH(CPI_Data[[#This Row],[Month]],{"January","February","March","April","May","June","July","August","September","October","November","December"},0),1)</f>
        <v>42339</v>
      </c>
      <c r="E107">
        <v>126.3</v>
      </c>
      <c r="F107">
        <v>131.30000000000001</v>
      </c>
      <c r="G107">
        <v>123.3</v>
      </c>
      <c r="H107">
        <v>129.80000000000001</v>
      </c>
      <c r="I107">
        <v>118.3</v>
      </c>
      <c r="J107">
        <v>131.6</v>
      </c>
      <c r="K107">
        <v>145.5</v>
      </c>
      <c r="L107">
        <v>162.1</v>
      </c>
      <c r="M107">
        <v>95.4</v>
      </c>
      <c r="N107">
        <v>128.9</v>
      </c>
      <c r="O107">
        <v>123.3</v>
      </c>
      <c r="P107">
        <v>135.1</v>
      </c>
      <c r="Q107">
        <v>131.4</v>
      </c>
      <c r="R107">
        <v>133.1</v>
      </c>
      <c r="S107">
        <v>132.5</v>
      </c>
      <c r="T107">
        <v>128.5</v>
      </c>
      <c r="U107">
        <v>131.9</v>
      </c>
      <c r="V107" t="s">
        <v>32</v>
      </c>
      <c r="W107">
        <v>125.7</v>
      </c>
      <c r="X107">
        <v>126</v>
      </c>
      <c r="Y107">
        <v>123.1</v>
      </c>
      <c r="Z107">
        <v>114</v>
      </c>
      <c r="AA107">
        <v>121.6</v>
      </c>
      <c r="AB107">
        <v>125.6</v>
      </c>
      <c r="AC107">
        <v>114.1</v>
      </c>
      <c r="AD107">
        <v>119.8</v>
      </c>
      <c r="AE107">
        <v>127.9</v>
      </c>
      <c r="AF107" t="str">
        <f>IF(AND(CPI_Data[[#This Row],[Date]]&gt;=DATE(2019,3,1),CPI_Data[[#This Row],[Date]]&lt;DATE(2020,3,1)),"Pre-COVID",IF(AND(CPI_Data[[#This Row],[Date]]&gt;=DATE(2020,3,1),CPI_Data[[#This Row],[Date]]&lt;DATE(2021,3,1)),"Post-COVID",""))</f>
        <v/>
      </c>
    </row>
    <row r="108" spans="1:32" hidden="1" x14ac:dyDescent="0.25">
      <c r="A108" t="s">
        <v>33</v>
      </c>
      <c r="B108">
        <v>2015</v>
      </c>
      <c r="C108" s="1" t="s">
        <v>46</v>
      </c>
      <c r="D108" s="2">
        <f>DATE(CPI_Data[[#This Row],[Year]],MATCH(CPI_Data[[#This Row],[Month]],{"January","February","March","April","May","June","July","August","September","October","November","December"},0),1)</f>
        <v>42339</v>
      </c>
      <c r="E108">
        <v>124.3</v>
      </c>
      <c r="F108">
        <v>131.69999999999999</v>
      </c>
      <c r="G108">
        <v>127.1</v>
      </c>
      <c r="H108">
        <v>128.6</v>
      </c>
      <c r="I108">
        <v>110</v>
      </c>
      <c r="J108">
        <v>120.8</v>
      </c>
      <c r="K108">
        <v>149</v>
      </c>
      <c r="L108">
        <v>190.1</v>
      </c>
      <c r="M108">
        <v>92.7</v>
      </c>
      <c r="N108">
        <v>138.6</v>
      </c>
      <c r="O108">
        <v>120.2</v>
      </c>
      <c r="P108">
        <v>134.19999999999999</v>
      </c>
      <c r="Q108">
        <v>131.5</v>
      </c>
      <c r="R108">
        <v>138.19999999999999</v>
      </c>
      <c r="S108">
        <v>125.4</v>
      </c>
      <c r="T108">
        <v>119.5</v>
      </c>
      <c r="U108">
        <v>124.5</v>
      </c>
      <c r="V108">
        <v>122.4</v>
      </c>
      <c r="W108">
        <v>116</v>
      </c>
      <c r="X108">
        <v>121</v>
      </c>
      <c r="Y108">
        <v>118.6</v>
      </c>
      <c r="Z108">
        <v>109.3</v>
      </c>
      <c r="AA108">
        <v>118.1</v>
      </c>
      <c r="AB108">
        <v>126.6</v>
      </c>
      <c r="AC108">
        <v>113.2</v>
      </c>
      <c r="AD108">
        <v>116.7</v>
      </c>
      <c r="AE108">
        <v>124</v>
      </c>
      <c r="AF108" t="str">
        <f>IF(AND(CPI_Data[[#This Row],[Date]]&gt;=DATE(2019,3,1),CPI_Data[[#This Row],[Date]]&lt;DATE(2020,3,1)),"Pre-COVID",IF(AND(CPI_Data[[#This Row],[Date]]&gt;=DATE(2020,3,1),CPI_Data[[#This Row],[Date]]&lt;DATE(2021,3,1)),"Post-COVID",""))</f>
        <v/>
      </c>
    </row>
    <row r="109" spans="1:32" hidden="1" x14ac:dyDescent="0.25">
      <c r="A109" t="s">
        <v>34</v>
      </c>
      <c r="B109">
        <v>2015</v>
      </c>
      <c r="C109" s="1" t="s">
        <v>46</v>
      </c>
      <c r="D109" s="2">
        <f>DATE(CPI_Data[[#This Row],[Year]],MATCH(CPI_Data[[#This Row],[Month]],{"January","February","March","April","May","June","July","August","September","October","November","December"},0),1)</f>
        <v>42339</v>
      </c>
      <c r="E109">
        <v>125.7</v>
      </c>
      <c r="F109">
        <v>131.4</v>
      </c>
      <c r="G109">
        <v>124.8</v>
      </c>
      <c r="H109">
        <v>129.4</v>
      </c>
      <c r="I109">
        <v>115.3</v>
      </c>
      <c r="J109">
        <v>126.6</v>
      </c>
      <c r="K109">
        <v>146.69999999999999</v>
      </c>
      <c r="L109">
        <v>171.5</v>
      </c>
      <c r="M109">
        <v>94.5</v>
      </c>
      <c r="N109">
        <v>132.1</v>
      </c>
      <c r="O109">
        <v>122</v>
      </c>
      <c r="P109">
        <v>134.69999999999999</v>
      </c>
      <c r="Q109">
        <v>131.4</v>
      </c>
      <c r="R109">
        <v>134.5</v>
      </c>
      <c r="S109">
        <v>129.69999999999999</v>
      </c>
      <c r="T109">
        <v>124.8</v>
      </c>
      <c r="U109">
        <v>129</v>
      </c>
      <c r="V109">
        <v>122.4</v>
      </c>
      <c r="W109">
        <v>122</v>
      </c>
      <c r="X109">
        <v>123.6</v>
      </c>
      <c r="Y109">
        <v>121.4</v>
      </c>
      <c r="Z109">
        <v>111.5</v>
      </c>
      <c r="AA109">
        <v>119.6</v>
      </c>
      <c r="AB109">
        <v>126.2</v>
      </c>
      <c r="AC109">
        <v>113.7</v>
      </c>
      <c r="AD109">
        <v>118.3</v>
      </c>
      <c r="AE109">
        <v>126.1</v>
      </c>
      <c r="AF109" t="str">
        <f>IF(AND(CPI_Data[[#This Row],[Date]]&gt;=DATE(2019,3,1),CPI_Data[[#This Row],[Date]]&lt;DATE(2020,3,1)),"Pre-COVID",IF(AND(CPI_Data[[#This Row],[Date]]&gt;=DATE(2020,3,1),CPI_Data[[#This Row],[Date]]&lt;DATE(2021,3,1)),"Post-COVID",""))</f>
        <v/>
      </c>
    </row>
    <row r="110" spans="1:32" hidden="1" x14ac:dyDescent="0.25">
      <c r="A110" t="s">
        <v>30</v>
      </c>
      <c r="B110">
        <v>2016</v>
      </c>
      <c r="C110" s="1" t="s">
        <v>31</v>
      </c>
      <c r="D110" s="2">
        <f>DATE(CPI_Data[[#This Row],[Year]],MATCH(CPI_Data[[#This Row],[Month]],{"January","February","March","April","May","June","July","August","September","October","November","December"},0),1)</f>
        <v>42370</v>
      </c>
      <c r="E110">
        <v>126.8</v>
      </c>
      <c r="F110">
        <v>133.19999999999999</v>
      </c>
      <c r="G110">
        <v>126.5</v>
      </c>
      <c r="H110">
        <v>130.30000000000001</v>
      </c>
      <c r="I110">
        <v>118.9</v>
      </c>
      <c r="J110">
        <v>131.6</v>
      </c>
      <c r="K110">
        <v>140.1</v>
      </c>
      <c r="L110">
        <v>163.80000000000001</v>
      </c>
      <c r="M110">
        <v>97.7</v>
      </c>
      <c r="N110">
        <v>129.6</v>
      </c>
      <c r="O110">
        <v>124.3</v>
      </c>
      <c r="P110">
        <v>135.9</v>
      </c>
      <c r="Q110">
        <v>131.4</v>
      </c>
      <c r="R110">
        <v>133.6</v>
      </c>
      <c r="S110">
        <v>133.19999999999999</v>
      </c>
      <c r="T110">
        <v>128.9</v>
      </c>
      <c r="U110">
        <v>132.6</v>
      </c>
      <c r="V110" t="s">
        <v>32</v>
      </c>
      <c r="W110">
        <v>126.2</v>
      </c>
      <c r="X110">
        <v>126.6</v>
      </c>
      <c r="Y110">
        <v>123.7</v>
      </c>
      <c r="Z110">
        <v>113.6</v>
      </c>
      <c r="AA110">
        <v>121.4</v>
      </c>
      <c r="AB110">
        <v>126.2</v>
      </c>
      <c r="AC110">
        <v>114.9</v>
      </c>
      <c r="AD110">
        <v>120.1</v>
      </c>
      <c r="AE110">
        <v>128.1</v>
      </c>
      <c r="AF110" t="str">
        <f>IF(AND(CPI_Data[[#This Row],[Date]]&gt;=DATE(2019,3,1),CPI_Data[[#This Row],[Date]]&lt;DATE(2020,3,1)),"Pre-COVID",IF(AND(CPI_Data[[#This Row],[Date]]&gt;=DATE(2020,3,1),CPI_Data[[#This Row],[Date]]&lt;DATE(2021,3,1)),"Post-COVID",""))</f>
        <v/>
      </c>
    </row>
    <row r="111" spans="1:32" hidden="1" x14ac:dyDescent="0.25">
      <c r="A111" t="s">
        <v>33</v>
      </c>
      <c r="B111">
        <v>2016</v>
      </c>
      <c r="C111" s="1" t="s">
        <v>31</v>
      </c>
      <c r="D111" s="2">
        <f>DATE(CPI_Data[[#This Row],[Year]],MATCH(CPI_Data[[#This Row],[Month]],{"January","February","March","April","May","June","July","August","September","October","November","December"},0),1)</f>
        <v>42370</v>
      </c>
      <c r="E111">
        <v>124.7</v>
      </c>
      <c r="F111">
        <v>135.9</v>
      </c>
      <c r="G111">
        <v>132</v>
      </c>
      <c r="H111">
        <v>129.19999999999999</v>
      </c>
      <c r="I111">
        <v>109.7</v>
      </c>
      <c r="J111">
        <v>119</v>
      </c>
      <c r="K111">
        <v>144.1</v>
      </c>
      <c r="L111">
        <v>184.2</v>
      </c>
      <c r="M111">
        <v>96.7</v>
      </c>
      <c r="N111">
        <v>139.5</v>
      </c>
      <c r="O111">
        <v>120.5</v>
      </c>
      <c r="P111">
        <v>134.69999999999999</v>
      </c>
      <c r="Q111">
        <v>131.19999999999999</v>
      </c>
      <c r="R111">
        <v>139.5</v>
      </c>
      <c r="S111">
        <v>125.8</v>
      </c>
      <c r="T111">
        <v>119.8</v>
      </c>
      <c r="U111">
        <v>124.9</v>
      </c>
      <c r="V111">
        <v>123.4</v>
      </c>
      <c r="W111">
        <v>116.9</v>
      </c>
      <c r="X111">
        <v>121.6</v>
      </c>
      <c r="Y111">
        <v>119.1</v>
      </c>
      <c r="Z111">
        <v>108.9</v>
      </c>
      <c r="AA111">
        <v>118.5</v>
      </c>
      <c r="AB111">
        <v>126.4</v>
      </c>
      <c r="AC111">
        <v>114</v>
      </c>
      <c r="AD111">
        <v>116.8</v>
      </c>
      <c r="AE111">
        <v>124.2</v>
      </c>
      <c r="AF111" t="str">
        <f>IF(AND(CPI_Data[[#This Row],[Date]]&gt;=DATE(2019,3,1),CPI_Data[[#This Row],[Date]]&lt;DATE(2020,3,1)),"Pre-COVID",IF(AND(CPI_Data[[#This Row],[Date]]&gt;=DATE(2020,3,1),CPI_Data[[#This Row],[Date]]&lt;DATE(2021,3,1)),"Post-COVID",""))</f>
        <v/>
      </c>
    </row>
    <row r="112" spans="1:32" hidden="1" x14ac:dyDescent="0.25">
      <c r="A112" t="s">
        <v>34</v>
      </c>
      <c r="B112">
        <v>2016</v>
      </c>
      <c r="C112" s="1" t="s">
        <v>31</v>
      </c>
      <c r="D112" s="2">
        <f>DATE(CPI_Data[[#This Row],[Year]],MATCH(CPI_Data[[#This Row],[Month]],{"January","February","March","April","May","June","July","August","September","October","November","December"},0),1)</f>
        <v>42370</v>
      </c>
      <c r="E112">
        <v>126.1</v>
      </c>
      <c r="F112">
        <v>134.1</v>
      </c>
      <c r="G112">
        <v>128.6</v>
      </c>
      <c r="H112">
        <v>129.9</v>
      </c>
      <c r="I112">
        <v>115.5</v>
      </c>
      <c r="J112">
        <v>125.7</v>
      </c>
      <c r="K112">
        <v>141.5</v>
      </c>
      <c r="L112">
        <v>170.7</v>
      </c>
      <c r="M112">
        <v>97.4</v>
      </c>
      <c r="N112">
        <v>132.9</v>
      </c>
      <c r="O112">
        <v>122.7</v>
      </c>
      <c r="P112">
        <v>135.30000000000001</v>
      </c>
      <c r="Q112">
        <v>131.30000000000001</v>
      </c>
      <c r="R112">
        <v>135.19999999999999</v>
      </c>
      <c r="S112">
        <v>130.30000000000001</v>
      </c>
      <c r="T112">
        <v>125.1</v>
      </c>
      <c r="U112">
        <v>129.5</v>
      </c>
      <c r="V112">
        <v>123.4</v>
      </c>
      <c r="W112">
        <v>122.7</v>
      </c>
      <c r="X112">
        <v>124.2</v>
      </c>
      <c r="Y112">
        <v>122</v>
      </c>
      <c r="Z112">
        <v>111.1</v>
      </c>
      <c r="AA112">
        <v>119.8</v>
      </c>
      <c r="AB112">
        <v>126.3</v>
      </c>
      <c r="AC112">
        <v>114.5</v>
      </c>
      <c r="AD112">
        <v>118.5</v>
      </c>
      <c r="AE112">
        <v>126.3</v>
      </c>
      <c r="AF112" t="str">
        <f>IF(AND(CPI_Data[[#This Row],[Date]]&gt;=DATE(2019,3,1),CPI_Data[[#This Row],[Date]]&lt;DATE(2020,3,1)),"Pre-COVID",IF(AND(CPI_Data[[#This Row],[Date]]&gt;=DATE(2020,3,1),CPI_Data[[#This Row],[Date]]&lt;DATE(2021,3,1)),"Post-COVID",""))</f>
        <v/>
      </c>
    </row>
    <row r="113" spans="1:32" hidden="1" x14ac:dyDescent="0.25">
      <c r="A113" t="s">
        <v>30</v>
      </c>
      <c r="B113">
        <v>2016</v>
      </c>
      <c r="C113" s="1" t="s">
        <v>35</v>
      </c>
      <c r="D113" s="2">
        <f>DATE(CPI_Data[[#This Row],[Year]],MATCH(CPI_Data[[#This Row],[Month]],{"January","February","March","April","May","June","July","August","September","October","November","December"},0),1)</f>
        <v>42401</v>
      </c>
      <c r="E113">
        <v>127.1</v>
      </c>
      <c r="F113">
        <v>133.69999999999999</v>
      </c>
      <c r="G113">
        <v>127.7</v>
      </c>
      <c r="H113">
        <v>130.69999999999999</v>
      </c>
      <c r="I113">
        <v>118.5</v>
      </c>
      <c r="J113">
        <v>130.4</v>
      </c>
      <c r="K113">
        <v>130.9</v>
      </c>
      <c r="L113">
        <v>162.80000000000001</v>
      </c>
      <c r="M113">
        <v>98.7</v>
      </c>
      <c r="N113">
        <v>130.6</v>
      </c>
      <c r="O113">
        <v>124.8</v>
      </c>
      <c r="P113">
        <v>136.4</v>
      </c>
      <c r="Q113">
        <v>130.30000000000001</v>
      </c>
      <c r="R113">
        <v>134.4</v>
      </c>
      <c r="S113">
        <v>133.9</v>
      </c>
      <c r="T113">
        <v>129.80000000000001</v>
      </c>
      <c r="U113">
        <v>133.4</v>
      </c>
      <c r="V113" t="s">
        <v>32</v>
      </c>
      <c r="W113">
        <v>127.5</v>
      </c>
      <c r="X113">
        <v>127.1</v>
      </c>
      <c r="Y113">
        <v>124.3</v>
      </c>
      <c r="Z113">
        <v>113.9</v>
      </c>
      <c r="AA113">
        <v>122.3</v>
      </c>
      <c r="AB113">
        <v>127.1</v>
      </c>
      <c r="AC113">
        <v>116.8</v>
      </c>
      <c r="AD113">
        <v>120.9</v>
      </c>
      <c r="AE113">
        <v>127.9</v>
      </c>
      <c r="AF113" t="str">
        <f>IF(AND(CPI_Data[[#This Row],[Date]]&gt;=DATE(2019,3,1),CPI_Data[[#This Row],[Date]]&lt;DATE(2020,3,1)),"Pre-COVID",IF(AND(CPI_Data[[#This Row],[Date]]&gt;=DATE(2020,3,1),CPI_Data[[#This Row],[Date]]&lt;DATE(2021,3,1)),"Post-COVID",""))</f>
        <v/>
      </c>
    </row>
    <row r="114" spans="1:32" hidden="1" x14ac:dyDescent="0.25">
      <c r="A114" t="s">
        <v>33</v>
      </c>
      <c r="B114">
        <v>2016</v>
      </c>
      <c r="C114" s="1" t="s">
        <v>35</v>
      </c>
      <c r="D114" s="2">
        <f>DATE(CPI_Data[[#This Row],[Year]],MATCH(CPI_Data[[#This Row],[Month]],{"January","February","March","April","May","June","July","August","September","October","November","December"},0),1)</f>
        <v>42401</v>
      </c>
      <c r="E114">
        <v>124.8</v>
      </c>
      <c r="F114">
        <v>135.1</v>
      </c>
      <c r="G114">
        <v>130.30000000000001</v>
      </c>
      <c r="H114">
        <v>129.6</v>
      </c>
      <c r="I114">
        <v>108.4</v>
      </c>
      <c r="J114">
        <v>118.6</v>
      </c>
      <c r="K114">
        <v>129.19999999999999</v>
      </c>
      <c r="L114">
        <v>176.4</v>
      </c>
      <c r="M114">
        <v>99.1</v>
      </c>
      <c r="N114">
        <v>139.69999999999999</v>
      </c>
      <c r="O114">
        <v>120.6</v>
      </c>
      <c r="P114">
        <v>135.19999999999999</v>
      </c>
      <c r="Q114">
        <v>129.1</v>
      </c>
      <c r="R114">
        <v>140</v>
      </c>
      <c r="S114">
        <v>126.2</v>
      </c>
      <c r="T114">
        <v>120.1</v>
      </c>
      <c r="U114">
        <v>125.3</v>
      </c>
      <c r="V114">
        <v>124.4</v>
      </c>
      <c r="W114">
        <v>116</v>
      </c>
      <c r="X114">
        <v>121.8</v>
      </c>
      <c r="Y114">
        <v>119.5</v>
      </c>
      <c r="Z114">
        <v>109.1</v>
      </c>
      <c r="AA114">
        <v>118.8</v>
      </c>
      <c r="AB114">
        <v>126.3</v>
      </c>
      <c r="AC114">
        <v>116.2</v>
      </c>
      <c r="AD114">
        <v>117.2</v>
      </c>
      <c r="AE114">
        <v>123.8</v>
      </c>
      <c r="AF114" t="str">
        <f>IF(AND(CPI_Data[[#This Row],[Date]]&gt;=DATE(2019,3,1),CPI_Data[[#This Row],[Date]]&lt;DATE(2020,3,1)),"Pre-COVID",IF(AND(CPI_Data[[#This Row],[Date]]&gt;=DATE(2020,3,1),CPI_Data[[#This Row],[Date]]&lt;DATE(2021,3,1)),"Post-COVID",""))</f>
        <v/>
      </c>
    </row>
    <row r="115" spans="1:32" hidden="1" x14ac:dyDescent="0.25">
      <c r="A115" t="s">
        <v>34</v>
      </c>
      <c r="B115">
        <v>2016</v>
      </c>
      <c r="C115" s="1" t="s">
        <v>35</v>
      </c>
      <c r="D115" s="2">
        <f>DATE(CPI_Data[[#This Row],[Year]],MATCH(CPI_Data[[#This Row],[Month]],{"January","February","March","April","May","June","July","August","September","October","November","December"},0),1)</f>
        <v>42401</v>
      </c>
      <c r="E115">
        <v>126.4</v>
      </c>
      <c r="F115">
        <v>134.19999999999999</v>
      </c>
      <c r="G115">
        <v>128.69999999999999</v>
      </c>
      <c r="H115">
        <v>130.30000000000001</v>
      </c>
      <c r="I115">
        <v>114.8</v>
      </c>
      <c r="J115">
        <v>124.9</v>
      </c>
      <c r="K115">
        <v>130.30000000000001</v>
      </c>
      <c r="L115">
        <v>167.4</v>
      </c>
      <c r="M115">
        <v>98.8</v>
      </c>
      <c r="N115">
        <v>133.6</v>
      </c>
      <c r="O115">
        <v>123</v>
      </c>
      <c r="P115">
        <v>135.80000000000001</v>
      </c>
      <c r="Q115">
        <v>129.9</v>
      </c>
      <c r="R115">
        <v>135.9</v>
      </c>
      <c r="S115">
        <v>130.9</v>
      </c>
      <c r="T115">
        <v>125.8</v>
      </c>
      <c r="U115">
        <v>130.19999999999999</v>
      </c>
      <c r="V115">
        <v>124.4</v>
      </c>
      <c r="W115">
        <v>123.1</v>
      </c>
      <c r="X115">
        <v>124.6</v>
      </c>
      <c r="Y115">
        <v>122.5</v>
      </c>
      <c r="Z115">
        <v>111.4</v>
      </c>
      <c r="AA115">
        <v>120.3</v>
      </c>
      <c r="AB115">
        <v>126.6</v>
      </c>
      <c r="AC115">
        <v>116.6</v>
      </c>
      <c r="AD115">
        <v>119.1</v>
      </c>
      <c r="AE115">
        <v>126</v>
      </c>
      <c r="AF115" t="str">
        <f>IF(AND(CPI_Data[[#This Row],[Date]]&gt;=DATE(2019,3,1),CPI_Data[[#This Row],[Date]]&lt;DATE(2020,3,1)),"Pre-COVID",IF(AND(CPI_Data[[#This Row],[Date]]&gt;=DATE(2020,3,1),CPI_Data[[#This Row],[Date]]&lt;DATE(2021,3,1)),"Post-COVID",""))</f>
        <v/>
      </c>
    </row>
    <row r="116" spans="1:32" hidden="1" x14ac:dyDescent="0.25">
      <c r="A116" t="s">
        <v>30</v>
      </c>
      <c r="B116">
        <v>2016</v>
      </c>
      <c r="C116" s="1" t="s">
        <v>36</v>
      </c>
      <c r="D116" s="2">
        <f>DATE(CPI_Data[[#This Row],[Year]],MATCH(CPI_Data[[#This Row],[Month]],{"January","February","March","April","May","June","July","August","September","October","November","December"},0),1)</f>
        <v>42430</v>
      </c>
      <c r="E116">
        <v>127.3</v>
      </c>
      <c r="F116">
        <v>134.4</v>
      </c>
      <c r="G116">
        <v>125.1</v>
      </c>
      <c r="H116">
        <v>130.5</v>
      </c>
      <c r="I116">
        <v>118.3</v>
      </c>
      <c r="J116">
        <v>131.69999999999999</v>
      </c>
      <c r="K116">
        <v>130.69999999999999</v>
      </c>
      <c r="L116">
        <v>161.19999999999999</v>
      </c>
      <c r="M116">
        <v>100.4</v>
      </c>
      <c r="N116">
        <v>130.80000000000001</v>
      </c>
      <c r="O116">
        <v>124.9</v>
      </c>
      <c r="P116">
        <v>137</v>
      </c>
      <c r="Q116">
        <v>130.4</v>
      </c>
      <c r="R116">
        <v>135</v>
      </c>
      <c r="S116">
        <v>134.4</v>
      </c>
      <c r="T116">
        <v>130.19999999999999</v>
      </c>
      <c r="U116">
        <v>133.80000000000001</v>
      </c>
      <c r="V116" t="s">
        <v>32</v>
      </c>
      <c r="W116">
        <v>127</v>
      </c>
      <c r="X116">
        <v>127.7</v>
      </c>
      <c r="Y116">
        <v>124.8</v>
      </c>
      <c r="Z116">
        <v>113.6</v>
      </c>
      <c r="AA116">
        <v>122.5</v>
      </c>
      <c r="AB116">
        <v>127.5</v>
      </c>
      <c r="AC116">
        <v>117.4</v>
      </c>
      <c r="AD116">
        <v>121.1</v>
      </c>
      <c r="AE116">
        <v>128</v>
      </c>
      <c r="AF116" t="str">
        <f>IF(AND(CPI_Data[[#This Row],[Date]]&gt;=DATE(2019,3,1),CPI_Data[[#This Row],[Date]]&lt;DATE(2020,3,1)),"Pre-COVID",IF(AND(CPI_Data[[#This Row],[Date]]&gt;=DATE(2020,3,1),CPI_Data[[#This Row],[Date]]&lt;DATE(2021,3,1)),"Post-COVID",""))</f>
        <v/>
      </c>
    </row>
    <row r="117" spans="1:32" hidden="1" x14ac:dyDescent="0.25">
      <c r="A117" t="s">
        <v>33</v>
      </c>
      <c r="B117">
        <v>2016</v>
      </c>
      <c r="C117" s="1" t="s">
        <v>36</v>
      </c>
      <c r="D117" s="2">
        <f>DATE(CPI_Data[[#This Row],[Year]],MATCH(CPI_Data[[#This Row],[Month]],{"January","February","March","April","May","June","July","August","September","October","November","December"},0),1)</f>
        <v>42430</v>
      </c>
      <c r="E117">
        <v>124.8</v>
      </c>
      <c r="F117">
        <v>136.30000000000001</v>
      </c>
      <c r="G117">
        <v>123.7</v>
      </c>
      <c r="H117">
        <v>129.69999999999999</v>
      </c>
      <c r="I117">
        <v>107.9</v>
      </c>
      <c r="J117">
        <v>119.9</v>
      </c>
      <c r="K117">
        <v>128.1</v>
      </c>
      <c r="L117">
        <v>170.3</v>
      </c>
      <c r="M117">
        <v>101.8</v>
      </c>
      <c r="N117">
        <v>140.1</v>
      </c>
      <c r="O117">
        <v>120.7</v>
      </c>
      <c r="P117">
        <v>135.4</v>
      </c>
      <c r="Q117">
        <v>128.9</v>
      </c>
      <c r="R117">
        <v>140.6</v>
      </c>
      <c r="S117">
        <v>126.4</v>
      </c>
      <c r="T117">
        <v>120.3</v>
      </c>
      <c r="U117">
        <v>125.5</v>
      </c>
      <c r="V117">
        <v>124.9</v>
      </c>
      <c r="W117">
        <v>114.8</v>
      </c>
      <c r="X117">
        <v>122.3</v>
      </c>
      <c r="Y117">
        <v>119.7</v>
      </c>
      <c r="Z117">
        <v>108.5</v>
      </c>
      <c r="AA117">
        <v>119.1</v>
      </c>
      <c r="AB117">
        <v>126.4</v>
      </c>
      <c r="AC117">
        <v>117.1</v>
      </c>
      <c r="AD117">
        <v>117.3</v>
      </c>
      <c r="AE117">
        <v>123.8</v>
      </c>
      <c r="AF117" t="str">
        <f>IF(AND(CPI_Data[[#This Row],[Date]]&gt;=DATE(2019,3,1),CPI_Data[[#This Row],[Date]]&lt;DATE(2020,3,1)),"Pre-COVID",IF(AND(CPI_Data[[#This Row],[Date]]&gt;=DATE(2020,3,1),CPI_Data[[#This Row],[Date]]&lt;DATE(2021,3,1)),"Post-COVID",""))</f>
        <v/>
      </c>
    </row>
    <row r="118" spans="1:32" hidden="1" x14ac:dyDescent="0.25">
      <c r="A118" t="s">
        <v>34</v>
      </c>
      <c r="B118">
        <v>2016</v>
      </c>
      <c r="C118" s="1" t="s">
        <v>36</v>
      </c>
      <c r="D118" s="2">
        <f>DATE(CPI_Data[[#This Row],[Year]],MATCH(CPI_Data[[#This Row],[Month]],{"January","February","March","April","May","June","July","August","September","October","November","December"},0),1)</f>
        <v>42430</v>
      </c>
      <c r="E118">
        <v>126.5</v>
      </c>
      <c r="F118">
        <v>135.1</v>
      </c>
      <c r="G118">
        <v>124.6</v>
      </c>
      <c r="H118">
        <v>130.19999999999999</v>
      </c>
      <c r="I118">
        <v>114.5</v>
      </c>
      <c r="J118">
        <v>126.2</v>
      </c>
      <c r="K118">
        <v>129.80000000000001</v>
      </c>
      <c r="L118">
        <v>164.3</v>
      </c>
      <c r="M118">
        <v>100.9</v>
      </c>
      <c r="N118">
        <v>133.9</v>
      </c>
      <c r="O118">
        <v>123.1</v>
      </c>
      <c r="P118">
        <v>136.30000000000001</v>
      </c>
      <c r="Q118">
        <v>129.80000000000001</v>
      </c>
      <c r="R118">
        <v>136.5</v>
      </c>
      <c r="S118">
        <v>131.30000000000001</v>
      </c>
      <c r="T118">
        <v>126.1</v>
      </c>
      <c r="U118">
        <v>130.5</v>
      </c>
      <c r="V118">
        <v>124.9</v>
      </c>
      <c r="W118">
        <v>122.4</v>
      </c>
      <c r="X118">
        <v>125.1</v>
      </c>
      <c r="Y118">
        <v>122.9</v>
      </c>
      <c r="Z118">
        <v>110.9</v>
      </c>
      <c r="AA118">
        <v>120.6</v>
      </c>
      <c r="AB118">
        <v>126.9</v>
      </c>
      <c r="AC118">
        <v>117.3</v>
      </c>
      <c r="AD118">
        <v>119.3</v>
      </c>
      <c r="AE118">
        <v>126</v>
      </c>
      <c r="AF118" t="str">
        <f>IF(AND(CPI_Data[[#This Row],[Date]]&gt;=DATE(2019,3,1),CPI_Data[[#This Row],[Date]]&lt;DATE(2020,3,1)),"Pre-COVID",IF(AND(CPI_Data[[#This Row],[Date]]&gt;=DATE(2020,3,1),CPI_Data[[#This Row],[Date]]&lt;DATE(2021,3,1)),"Post-COVID",""))</f>
        <v/>
      </c>
    </row>
    <row r="119" spans="1:32" hidden="1" x14ac:dyDescent="0.25">
      <c r="A119" t="s">
        <v>30</v>
      </c>
      <c r="B119">
        <v>2016</v>
      </c>
      <c r="C119" s="1" t="s">
        <v>37</v>
      </c>
      <c r="D119" s="2">
        <f>DATE(CPI_Data[[#This Row],[Year]],MATCH(CPI_Data[[#This Row],[Month]],{"January","February","March","April","May","June","July","August","September","October","November","December"},0),1)</f>
        <v>42461</v>
      </c>
      <c r="E119">
        <v>127.4</v>
      </c>
      <c r="F119">
        <v>135.4</v>
      </c>
      <c r="G119">
        <v>123.4</v>
      </c>
      <c r="H119">
        <v>131.30000000000001</v>
      </c>
      <c r="I119">
        <v>118.2</v>
      </c>
      <c r="J119">
        <v>138.1</v>
      </c>
      <c r="K119">
        <v>134.1</v>
      </c>
      <c r="L119">
        <v>162.69999999999999</v>
      </c>
      <c r="M119">
        <v>105</v>
      </c>
      <c r="N119">
        <v>131.4</v>
      </c>
      <c r="O119">
        <v>125.4</v>
      </c>
      <c r="P119">
        <v>137.4</v>
      </c>
      <c r="Q119">
        <v>131.80000000000001</v>
      </c>
      <c r="R119">
        <v>135.5</v>
      </c>
      <c r="S119">
        <v>135</v>
      </c>
      <c r="T119">
        <v>130.6</v>
      </c>
      <c r="U119">
        <v>134.4</v>
      </c>
      <c r="V119" t="s">
        <v>32</v>
      </c>
      <c r="W119">
        <v>127</v>
      </c>
      <c r="X119">
        <v>128</v>
      </c>
      <c r="Y119">
        <v>125.2</v>
      </c>
      <c r="Z119">
        <v>114.4</v>
      </c>
      <c r="AA119">
        <v>123.2</v>
      </c>
      <c r="AB119">
        <v>127.9</v>
      </c>
      <c r="AC119">
        <v>118.4</v>
      </c>
      <c r="AD119">
        <v>121.7</v>
      </c>
      <c r="AE119">
        <v>129</v>
      </c>
      <c r="AF119" t="str">
        <f>IF(AND(CPI_Data[[#This Row],[Date]]&gt;=DATE(2019,3,1),CPI_Data[[#This Row],[Date]]&lt;DATE(2020,3,1)),"Pre-COVID",IF(AND(CPI_Data[[#This Row],[Date]]&gt;=DATE(2020,3,1),CPI_Data[[#This Row],[Date]]&lt;DATE(2021,3,1)),"Post-COVID",""))</f>
        <v/>
      </c>
    </row>
    <row r="120" spans="1:32" hidden="1" x14ac:dyDescent="0.25">
      <c r="A120" t="s">
        <v>33</v>
      </c>
      <c r="B120">
        <v>2016</v>
      </c>
      <c r="C120" s="1" t="s">
        <v>37</v>
      </c>
      <c r="D120" s="2">
        <f>DATE(CPI_Data[[#This Row],[Year]],MATCH(CPI_Data[[#This Row],[Month]],{"January","February","March","April","May","June","July","August","September","October","November","December"},0),1)</f>
        <v>42461</v>
      </c>
      <c r="E120">
        <v>124.9</v>
      </c>
      <c r="F120">
        <v>139.30000000000001</v>
      </c>
      <c r="G120">
        <v>119.9</v>
      </c>
      <c r="H120">
        <v>130.19999999999999</v>
      </c>
      <c r="I120">
        <v>108.9</v>
      </c>
      <c r="J120">
        <v>131.1</v>
      </c>
      <c r="K120">
        <v>136.80000000000001</v>
      </c>
      <c r="L120">
        <v>176.9</v>
      </c>
      <c r="M120">
        <v>109.1</v>
      </c>
      <c r="N120">
        <v>140.4</v>
      </c>
      <c r="O120">
        <v>121.1</v>
      </c>
      <c r="P120">
        <v>135.9</v>
      </c>
      <c r="Q120">
        <v>131.80000000000001</v>
      </c>
      <c r="R120">
        <v>141.5</v>
      </c>
      <c r="S120">
        <v>126.8</v>
      </c>
      <c r="T120">
        <v>120.5</v>
      </c>
      <c r="U120">
        <v>125.8</v>
      </c>
      <c r="V120">
        <v>125.6</v>
      </c>
      <c r="W120">
        <v>114.6</v>
      </c>
      <c r="X120">
        <v>122.8</v>
      </c>
      <c r="Y120">
        <v>120</v>
      </c>
      <c r="Z120">
        <v>110</v>
      </c>
      <c r="AA120">
        <v>119.5</v>
      </c>
      <c r="AB120">
        <v>127.6</v>
      </c>
      <c r="AC120">
        <v>117.6</v>
      </c>
      <c r="AD120">
        <v>118.2</v>
      </c>
      <c r="AE120">
        <v>125.3</v>
      </c>
      <c r="AF120" t="str">
        <f>IF(AND(CPI_Data[[#This Row],[Date]]&gt;=DATE(2019,3,1),CPI_Data[[#This Row],[Date]]&lt;DATE(2020,3,1)),"Pre-COVID",IF(AND(CPI_Data[[#This Row],[Date]]&gt;=DATE(2020,3,1),CPI_Data[[#This Row],[Date]]&lt;DATE(2021,3,1)),"Post-COVID",""))</f>
        <v/>
      </c>
    </row>
    <row r="121" spans="1:32" hidden="1" x14ac:dyDescent="0.25">
      <c r="A121" t="s">
        <v>34</v>
      </c>
      <c r="B121">
        <v>2016</v>
      </c>
      <c r="C121" s="1" t="s">
        <v>37</v>
      </c>
      <c r="D121" s="2">
        <f>DATE(CPI_Data[[#This Row],[Year]],MATCH(CPI_Data[[#This Row],[Month]],{"January","February","March","April","May","June","July","August","September","October","November","December"},0),1)</f>
        <v>42461</v>
      </c>
      <c r="E121">
        <v>126.6</v>
      </c>
      <c r="F121">
        <v>136.80000000000001</v>
      </c>
      <c r="G121">
        <v>122</v>
      </c>
      <c r="H121">
        <v>130.9</v>
      </c>
      <c r="I121">
        <v>114.8</v>
      </c>
      <c r="J121">
        <v>134.80000000000001</v>
      </c>
      <c r="K121">
        <v>135</v>
      </c>
      <c r="L121">
        <v>167.5</v>
      </c>
      <c r="M121">
        <v>106.4</v>
      </c>
      <c r="N121">
        <v>134.4</v>
      </c>
      <c r="O121">
        <v>123.6</v>
      </c>
      <c r="P121">
        <v>136.69999999999999</v>
      </c>
      <c r="Q121">
        <v>131.80000000000001</v>
      </c>
      <c r="R121">
        <v>137.1</v>
      </c>
      <c r="S121">
        <v>131.80000000000001</v>
      </c>
      <c r="T121">
        <v>126.4</v>
      </c>
      <c r="U121">
        <v>131</v>
      </c>
      <c r="V121">
        <v>125.6</v>
      </c>
      <c r="W121">
        <v>122.3</v>
      </c>
      <c r="X121">
        <v>125.5</v>
      </c>
      <c r="Y121">
        <v>123.2</v>
      </c>
      <c r="Z121">
        <v>112.1</v>
      </c>
      <c r="AA121">
        <v>121.1</v>
      </c>
      <c r="AB121">
        <v>127.7</v>
      </c>
      <c r="AC121">
        <v>118.1</v>
      </c>
      <c r="AD121">
        <v>120</v>
      </c>
      <c r="AE121">
        <v>127.3</v>
      </c>
      <c r="AF121" t="str">
        <f>IF(AND(CPI_Data[[#This Row],[Date]]&gt;=DATE(2019,3,1),CPI_Data[[#This Row],[Date]]&lt;DATE(2020,3,1)),"Pre-COVID",IF(AND(CPI_Data[[#This Row],[Date]]&gt;=DATE(2020,3,1),CPI_Data[[#This Row],[Date]]&lt;DATE(2021,3,1)),"Post-COVID",""))</f>
        <v/>
      </c>
    </row>
    <row r="122" spans="1:32" hidden="1" x14ac:dyDescent="0.25">
      <c r="A122" t="s">
        <v>30</v>
      </c>
      <c r="B122">
        <v>2016</v>
      </c>
      <c r="C122" s="1" t="s">
        <v>38</v>
      </c>
      <c r="D122" s="2">
        <f>DATE(CPI_Data[[#This Row],[Year]],MATCH(CPI_Data[[#This Row],[Month]],{"January","February","March","April","May","June","July","August","September","October","November","December"},0),1)</f>
        <v>42491</v>
      </c>
      <c r="E122">
        <v>127.6</v>
      </c>
      <c r="F122">
        <v>137.5</v>
      </c>
      <c r="G122">
        <v>124.4</v>
      </c>
      <c r="H122">
        <v>132.4</v>
      </c>
      <c r="I122">
        <v>118.2</v>
      </c>
      <c r="J122">
        <v>138.1</v>
      </c>
      <c r="K122">
        <v>141.80000000000001</v>
      </c>
      <c r="L122">
        <v>166</v>
      </c>
      <c r="M122">
        <v>107.5</v>
      </c>
      <c r="N122">
        <v>132.19999999999999</v>
      </c>
      <c r="O122">
        <v>126.1</v>
      </c>
      <c r="P122">
        <v>138.30000000000001</v>
      </c>
      <c r="Q122">
        <v>133.6</v>
      </c>
      <c r="R122">
        <v>136</v>
      </c>
      <c r="S122">
        <v>135.4</v>
      </c>
      <c r="T122">
        <v>131.1</v>
      </c>
      <c r="U122">
        <v>134.80000000000001</v>
      </c>
      <c r="V122" t="s">
        <v>32</v>
      </c>
      <c r="W122">
        <v>127.4</v>
      </c>
      <c r="X122">
        <v>128.5</v>
      </c>
      <c r="Y122">
        <v>125.8</v>
      </c>
      <c r="Z122">
        <v>115.1</v>
      </c>
      <c r="AA122">
        <v>123.6</v>
      </c>
      <c r="AB122">
        <v>129.1</v>
      </c>
      <c r="AC122">
        <v>119.7</v>
      </c>
      <c r="AD122">
        <v>122.5</v>
      </c>
      <c r="AE122">
        <v>130.30000000000001</v>
      </c>
      <c r="AF122" t="str">
        <f>IF(AND(CPI_Data[[#This Row],[Date]]&gt;=DATE(2019,3,1),CPI_Data[[#This Row],[Date]]&lt;DATE(2020,3,1)),"Pre-COVID",IF(AND(CPI_Data[[#This Row],[Date]]&gt;=DATE(2020,3,1),CPI_Data[[#This Row],[Date]]&lt;DATE(2021,3,1)),"Post-COVID",""))</f>
        <v/>
      </c>
    </row>
    <row r="123" spans="1:32" hidden="1" x14ac:dyDescent="0.25">
      <c r="A123" t="s">
        <v>33</v>
      </c>
      <c r="B123">
        <v>2016</v>
      </c>
      <c r="C123" s="1" t="s">
        <v>38</v>
      </c>
      <c r="D123" s="2">
        <f>DATE(CPI_Data[[#This Row],[Year]],MATCH(CPI_Data[[#This Row],[Month]],{"January","February","March","April","May","June","July","August","September","October","November","December"},0),1)</f>
        <v>42491</v>
      </c>
      <c r="E123">
        <v>125</v>
      </c>
      <c r="F123">
        <v>142.1</v>
      </c>
      <c r="G123">
        <v>127</v>
      </c>
      <c r="H123">
        <v>130.4</v>
      </c>
      <c r="I123">
        <v>109.6</v>
      </c>
      <c r="J123">
        <v>133.5</v>
      </c>
      <c r="K123">
        <v>151.4</v>
      </c>
      <c r="L123">
        <v>182.8</v>
      </c>
      <c r="M123">
        <v>111.1</v>
      </c>
      <c r="N123">
        <v>141.5</v>
      </c>
      <c r="O123">
        <v>121.5</v>
      </c>
      <c r="P123">
        <v>136.30000000000001</v>
      </c>
      <c r="Q123">
        <v>134.6</v>
      </c>
      <c r="R123">
        <v>142.19999999999999</v>
      </c>
      <c r="S123">
        <v>127.2</v>
      </c>
      <c r="T123">
        <v>120.7</v>
      </c>
      <c r="U123">
        <v>126.2</v>
      </c>
      <c r="V123">
        <v>126</v>
      </c>
      <c r="W123">
        <v>115</v>
      </c>
      <c r="X123">
        <v>123.2</v>
      </c>
      <c r="Y123">
        <v>120.3</v>
      </c>
      <c r="Z123">
        <v>110.7</v>
      </c>
      <c r="AA123">
        <v>119.8</v>
      </c>
      <c r="AB123">
        <v>128</v>
      </c>
      <c r="AC123">
        <v>118.5</v>
      </c>
      <c r="AD123">
        <v>118.7</v>
      </c>
      <c r="AE123">
        <v>126.6</v>
      </c>
      <c r="AF123" t="str">
        <f>IF(AND(CPI_Data[[#This Row],[Date]]&gt;=DATE(2019,3,1),CPI_Data[[#This Row],[Date]]&lt;DATE(2020,3,1)),"Pre-COVID",IF(AND(CPI_Data[[#This Row],[Date]]&gt;=DATE(2020,3,1),CPI_Data[[#This Row],[Date]]&lt;DATE(2021,3,1)),"Post-COVID",""))</f>
        <v/>
      </c>
    </row>
    <row r="124" spans="1:32" hidden="1" x14ac:dyDescent="0.25">
      <c r="A124" t="s">
        <v>34</v>
      </c>
      <c r="B124">
        <v>2016</v>
      </c>
      <c r="C124" s="1" t="s">
        <v>38</v>
      </c>
      <c r="D124" s="2">
        <f>DATE(CPI_Data[[#This Row],[Year]],MATCH(CPI_Data[[#This Row],[Month]],{"January","February","March","April","May","June","July","August","September","October","November","December"},0),1)</f>
        <v>42491</v>
      </c>
      <c r="E124">
        <v>126.8</v>
      </c>
      <c r="F124">
        <v>139.1</v>
      </c>
      <c r="G124">
        <v>125.4</v>
      </c>
      <c r="H124">
        <v>131.69999999999999</v>
      </c>
      <c r="I124">
        <v>115</v>
      </c>
      <c r="J124">
        <v>136</v>
      </c>
      <c r="K124">
        <v>145.1</v>
      </c>
      <c r="L124">
        <v>171.7</v>
      </c>
      <c r="M124">
        <v>108.7</v>
      </c>
      <c r="N124">
        <v>135.30000000000001</v>
      </c>
      <c r="O124">
        <v>124.2</v>
      </c>
      <c r="P124">
        <v>137.4</v>
      </c>
      <c r="Q124">
        <v>134</v>
      </c>
      <c r="R124">
        <v>137.69999999999999</v>
      </c>
      <c r="S124">
        <v>132.19999999999999</v>
      </c>
      <c r="T124">
        <v>126.8</v>
      </c>
      <c r="U124">
        <v>131.4</v>
      </c>
      <c r="V124">
        <v>126</v>
      </c>
      <c r="W124">
        <v>122.7</v>
      </c>
      <c r="X124">
        <v>126</v>
      </c>
      <c r="Y124">
        <v>123.7</v>
      </c>
      <c r="Z124">
        <v>112.8</v>
      </c>
      <c r="AA124">
        <v>121.5</v>
      </c>
      <c r="AB124">
        <v>128.5</v>
      </c>
      <c r="AC124">
        <v>119.2</v>
      </c>
      <c r="AD124">
        <v>120.7</v>
      </c>
      <c r="AE124">
        <v>128.6</v>
      </c>
      <c r="AF124" t="str">
        <f>IF(AND(CPI_Data[[#This Row],[Date]]&gt;=DATE(2019,3,1),CPI_Data[[#This Row],[Date]]&lt;DATE(2020,3,1)),"Pre-COVID",IF(AND(CPI_Data[[#This Row],[Date]]&gt;=DATE(2020,3,1),CPI_Data[[#This Row],[Date]]&lt;DATE(2021,3,1)),"Post-COVID",""))</f>
        <v/>
      </c>
    </row>
    <row r="125" spans="1:32" hidden="1" x14ac:dyDescent="0.25">
      <c r="A125" t="s">
        <v>30</v>
      </c>
      <c r="B125">
        <v>2016</v>
      </c>
      <c r="C125" s="1" t="s">
        <v>39</v>
      </c>
      <c r="D125" s="2">
        <f>DATE(CPI_Data[[#This Row],[Year]],MATCH(CPI_Data[[#This Row],[Month]],{"January","February","March","April","May","June","July","August","September","October","November","December"},0),1)</f>
        <v>42522</v>
      </c>
      <c r="E125">
        <v>128.6</v>
      </c>
      <c r="F125">
        <v>138.6</v>
      </c>
      <c r="G125">
        <v>126.6</v>
      </c>
      <c r="H125">
        <v>133.6</v>
      </c>
      <c r="I125">
        <v>118.6</v>
      </c>
      <c r="J125">
        <v>137.4</v>
      </c>
      <c r="K125">
        <v>152.5</v>
      </c>
      <c r="L125">
        <v>169.2</v>
      </c>
      <c r="M125">
        <v>108.8</v>
      </c>
      <c r="N125">
        <v>133.1</v>
      </c>
      <c r="O125">
        <v>126.4</v>
      </c>
      <c r="P125">
        <v>139.19999999999999</v>
      </c>
      <c r="Q125">
        <v>136</v>
      </c>
      <c r="R125">
        <v>137.19999999999999</v>
      </c>
      <c r="S125">
        <v>136.30000000000001</v>
      </c>
      <c r="T125">
        <v>131.6</v>
      </c>
      <c r="U125">
        <v>135.6</v>
      </c>
      <c r="V125" t="s">
        <v>32</v>
      </c>
      <c r="W125">
        <v>128</v>
      </c>
      <c r="X125">
        <v>129.30000000000001</v>
      </c>
      <c r="Y125">
        <v>126.2</v>
      </c>
      <c r="Z125">
        <v>116.3</v>
      </c>
      <c r="AA125">
        <v>124.1</v>
      </c>
      <c r="AB125">
        <v>130.19999999999999</v>
      </c>
      <c r="AC125">
        <v>119.9</v>
      </c>
      <c r="AD125">
        <v>123.3</v>
      </c>
      <c r="AE125">
        <v>131.9</v>
      </c>
      <c r="AF125" t="str">
        <f>IF(AND(CPI_Data[[#This Row],[Date]]&gt;=DATE(2019,3,1),CPI_Data[[#This Row],[Date]]&lt;DATE(2020,3,1)),"Pre-COVID",IF(AND(CPI_Data[[#This Row],[Date]]&gt;=DATE(2020,3,1),CPI_Data[[#This Row],[Date]]&lt;DATE(2021,3,1)),"Post-COVID",""))</f>
        <v/>
      </c>
    </row>
    <row r="126" spans="1:32" hidden="1" x14ac:dyDescent="0.25">
      <c r="A126" t="s">
        <v>33</v>
      </c>
      <c r="B126">
        <v>2016</v>
      </c>
      <c r="C126" s="1" t="s">
        <v>39</v>
      </c>
      <c r="D126" s="2">
        <f>DATE(CPI_Data[[#This Row],[Year]],MATCH(CPI_Data[[#This Row],[Month]],{"January","February","March","April","May","June","July","August","September","October","November","December"},0),1)</f>
        <v>42522</v>
      </c>
      <c r="E126">
        <v>125.9</v>
      </c>
      <c r="F126">
        <v>143.9</v>
      </c>
      <c r="G126">
        <v>130.9</v>
      </c>
      <c r="H126">
        <v>131</v>
      </c>
      <c r="I126">
        <v>110.2</v>
      </c>
      <c r="J126">
        <v>135.5</v>
      </c>
      <c r="K126">
        <v>173.7</v>
      </c>
      <c r="L126">
        <v>184.4</v>
      </c>
      <c r="M126">
        <v>112</v>
      </c>
      <c r="N126">
        <v>142.80000000000001</v>
      </c>
      <c r="O126">
        <v>121.6</v>
      </c>
      <c r="P126">
        <v>136.9</v>
      </c>
      <c r="Q126">
        <v>138.19999999999999</v>
      </c>
      <c r="R126">
        <v>142.69999999999999</v>
      </c>
      <c r="S126">
        <v>127.6</v>
      </c>
      <c r="T126">
        <v>121.1</v>
      </c>
      <c r="U126">
        <v>126.6</v>
      </c>
      <c r="V126">
        <v>125.5</v>
      </c>
      <c r="W126">
        <v>115.5</v>
      </c>
      <c r="X126">
        <v>123.2</v>
      </c>
      <c r="Y126">
        <v>120.6</v>
      </c>
      <c r="Z126">
        <v>112.3</v>
      </c>
      <c r="AA126">
        <v>119.9</v>
      </c>
      <c r="AB126">
        <v>129.30000000000001</v>
      </c>
      <c r="AC126">
        <v>118.8</v>
      </c>
      <c r="AD126">
        <v>119.6</v>
      </c>
      <c r="AE126">
        <v>128.1</v>
      </c>
      <c r="AF126" t="str">
        <f>IF(AND(CPI_Data[[#This Row],[Date]]&gt;=DATE(2019,3,1),CPI_Data[[#This Row],[Date]]&lt;DATE(2020,3,1)),"Pre-COVID",IF(AND(CPI_Data[[#This Row],[Date]]&gt;=DATE(2020,3,1),CPI_Data[[#This Row],[Date]]&lt;DATE(2021,3,1)),"Post-COVID",""))</f>
        <v/>
      </c>
    </row>
    <row r="127" spans="1:32" hidden="1" x14ac:dyDescent="0.25">
      <c r="A127" t="s">
        <v>34</v>
      </c>
      <c r="B127">
        <v>2016</v>
      </c>
      <c r="C127" s="1" t="s">
        <v>39</v>
      </c>
      <c r="D127" s="2">
        <f>DATE(CPI_Data[[#This Row],[Year]],MATCH(CPI_Data[[#This Row],[Month]],{"January","February","March","April","May","June","July","August","September","October","November","December"},0),1)</f>
        <v>42522</v>
      </c>
      <c r="E127">
        <v>127.7</v>
      </c>
      <c r="F127">
        <v>140.5</v>
      </c>
      <c r="G127">
        <v>128.30000000000001</v>
      </c>
      <c r="H127">
        <v>132.6</v>
      </c>
      <c r="I127">
        <v>115.5</v>
      </c>
      <c r="J127">
        <v>136.5</v>
      </c>
      <c r="K127">
        <v>159.69999999999999</v>
      </c>
      <c r="L127">
        <v>174.3</v>
      </c>
      <c r="M127">
        <v>109.9</v>
      </c>
      <c r="N127">
        <v>136.30000000000001</v>
      </c>
      <c r="O127">
        <v>124.4</v>
      </c>
      <c r="P127">
        <v>138.1</v>
      </c>
      <c r="Q127">
        <v>136.80000000000001</v>
      </c>
      <c r="R127">
        <v>138.69999999999999</v>
      </c>
      <c r="S127">
        <v>132.9</v>
      </c>
      <c r="T127">
        <v>127.2</v>
      </c>
      <c r="U127">
        <v>132</v>
      </c>
      <c r="V127">
        <v>125.5</v>
      </c>
      <c r="W127">
        <v>123.3</v>
      </c>
      <c r="X127">
        <v>126.4</v>
      </c>
      <c r="Y127">
        <v>124.1</v>
      </c>
      <c r="Z127">
        <v>114.2</v>
      </c>
      <c r="AA127">
        <v>121.7</v>
      </c>
      <c r="AB127">
        <v>129.69999999999999</v>
      </c>
      <c r="AC127">
        <v>119.4</v>
      </c>
      <c r="AD127">
        <v>121.5</v>
      </c>
      <c r="AE127">
        <v>130.1</v>
      </c>
      <c r="AF127" t="str">
        <f>IF(AND(CPI_Data[[#This Row],[Date]]&gt;=DATE(2019,3,1),CPI_Data[[#This Row],[Date]]&lt;DATE(2020,3,1)),"Pre-COVID",IF(AND(CPI_Data[[#This Row],[Date]]&gt;=DATE(2020,3,1),CPI_Data[[#This Row],[Date]]&lt;DATE(2021,3,1)),"Post-COVID",""))</f>
        <v/>
      </c>
    </row>
    <row r="128" spans="1:32" hidden="1" x14ac:dyDescent="0.25">
      <c r="A128" t="s">
        <v>30</v>
      </c>
      <c r="B128">
        <v>2016</v>
      </c>
      <c r="C128" s="1" t="s">
        <v>40</v>
      </c>
      <c r="D128" s="2">
        <f>DATE(CPI_Data[[#This Row],[Year]],MATCH(CPI_Data[[#This Row],[Month]],{"January","February","March","April","May","June","July","August","September","October","November","December"},0),1)</f>
        <v>42552</v>
      </c>
      <c r="E128">
        <v>129.30000000000001</v>
      </c>
      <c r="F128">
        <v>139.5</v>
      </c>
      <c r="G128">
        <v>129.6</v>
      </c>
      <c r="H128">
        <v>134.5</v>
      </c>
      <c r="I128">
        <v>119.5</v>
      </c>
      <c r="J128">
        <v>138.5</v>
      </c>
      <c r="K128">
        <v>158.19999999999999</v>
      </c>
      <c r="L128">
        <v>171.8</v>
      </c>
      <c r="M128">
        <v>110.3</v>
      </c>
      <c r="N128">
        <v>134.30000000000001</v>
      </c>
      <c r="O128">
        <v>127.3</v>
      </c>
      <c r="P128">
        <v>139.9</v>
      </c>
      <c r="Q128">
        <v>137.6</v>
      </c>
      <c r="R128">
        <v>138</v>
      </c>
      <c r="S128">
        <v>137.19999999999999</v>
      </c>
      <c r="T128">
        <v>132.19999999999999</v>
      </c>
      <c r="U128">
        <v>136.5</v>
      </c>
      <c r="V128" t="s">
        <v>32</v>
      </c>
      <c r="W128">
        <v>128.19999999999999</v>
      </c>
      <c r="X128">
        <v>130</v>
      </c>
      <c r="Y128">
        <v>126.7</v>
      </c>
      <c r="Z128">
        <v>116.4</v>
      </c>
      <c r="AA128">
        <v>125.2</v>
      </c>
      <c r="AB128">
        <v>130.80000000000001</v>
      </c>
      <c r="AC128">
        <v>120.9</v>
      </c>
      <c r="AD128">
        <v>123.8</v>
      </c>
      <c r="AE128">
        <v>133</v>
      </c>
      <c r="AF128" t="str">
        <f>IF(AND(CPI_Data[[#This Row],[Date]]&gt;=DATE(2019,3,1),CPI_Data[[#This Row],[Date]]&lt;DATE(2020,3,1)),"Pre-COVID",IF(AND(CPI_Data[[#This Row],[Date]]&gt;=DATE(2020,3,1),CPI_Data[[#This Row],[Date]]&lt;DATE(2021,3,1)),"Post-COVID",""))</f>
        <v/>
      </c>
    </row>
    <row r="129" spans="1:32" hidden="1" x14ac:dyDescent="0.25">
      <c r="A129" t="s">
        <v>33</v>
      </c>
      <c r="B129">
        <v>2016</v>
      </c>
      <c r="C129" s="1" t="s">
        <v>40</v>
      </c>
      <c r="D129" s="2">
        <f>DATE(CPI_Data[[#This Row],[Year]],MATCH(CPI_Data[[#This Row],[Month]],{"January","February","March","April","May","June","July","August","September","October","November","December"},0),1)</f>
        <v>42552</v>
      </c>
      <c r="E129">
        <v>126.8</v>
      </c>
      <c r="F129">
        <v>144.19999999999999</v>
      </c>
      <c r="G129">
        <v>136.6</v>
      </c>
      <c r="H129">
        <v>131.80000000000001</v>
      </c>
      <c r="I129">
        <v>111</v>
      </c>
      <c r="J129">
        <v>137</v>
      </c>
      <c r="K129">
        <v>179.5</v>
      </c>
      <c r="L129">
        <v>188.4</v>
      </c>
      <c r="M129">
        <v>113.3</v>
      </c>
      <c r="N129">
        <v>143.9</v>
      </c>
      <c r="O129">
        <v>121.7</v>
      </c>
      <c r="P129">
        <v>137.5</v>
      </c>
      <c r="Q129">
        <v>139.80000000000001</v>
      </c>
      <c r="R129">
        <v>142.9</v>
      </c>
      <c r="S129">
        <v>127.9</v>
      </c>
      <c r="T129">
        <v>121.1</v>
      </c>
      <c r="U129">
        <v>126.9</v>
      </c>
      <c r="V129">
        <v>126.4</v>
      </c>
      <c r="W129">
        <v>115.5</v>
      </c>
      <c r="X129">
        <v>123.5</v>
      </c>
      <c r="Y129">
        <v>120.9</v>
      </c>
      <c r="Z129">
        <v>111.7</v>
      </c>
      <c r="AA129">
        <v>120.3</v>
      </c>
      <c r="AB129">
        <v>130.80000000000001</v>
      </c>
      <c r="AC129">
        <v>120</v>
      </c>
      <c r="AD129">
        <v>119.9</v>
      </c>
      <c r="AE129">
        <v>129</v>
      </c>
      <c r="AF129" t="str">
        <f>IF(AND(CPI_Data[[#This Row],[Date]]&gt;=DATE(2019,3,1),CPI_Data[[#This Row],[Date]]&lt;DATE(2020,3,1)),"Pre-COVID",IF(AND(CPI_Data[[#This Row],[Date]]&gt;=DATE(2020,3,1),CPI_Data[[#This Row],[Date]]&lt;DATE(2021,3,1)),"Post-COVID",""))</f>
        <v/>
      </c>
    </row>
    <row r="130" spans="1:32" hidden="1" x14ac:dyDescent="0.25">
      <c r="A130" t="s">
        <v>34</v>
      </c>
      <c r="B130">
        <v>2016</v>
      </c>
      <c r="C130" s="1" t="s">
        <v>40</v>
      </c>
      <c r="D130" s="2">
        <f>DATE(CPI_Data[[#This Row],[Year]],MATCH(CPI_Data[[#This Row],[Month]],{"January","February","March","April","May","June","July","August","September","October","November","December"},0),1)</f>
        <v>42552</v>
      </c>
      <c r="E130">
        <v>128.5</v>
      </c>
      <c r="F130">
        <v>141.19999999999999</v>
      </c>
      <c r="G130">
        <v>132.30000000000001</v>
      </c>
      <c r="H130">
        <v>133.5</v>
      </c>
      <c r="I130">
        <v>116.4</v>
      </c>
      <c r="J130">
        <v>137.80000000000001</v>
      </c>
      <c r="K130">
        <v>165.4</v>
      </c>
      <c r="L130">
        <v>177.4</v>
      </c>
      <c r="M130">
        <v>111.3</v>
      </c>
      <c r="N130">
        <v>137.5</v>
      </c>
      <c r="O130">
        <v>125</v>
      </c>
      <c r="P130">
        <v>138.80000000000001</v>
      </c>
      <c r="Q130">
        <v>138.4</v>
      </c>
      <c r="R130">
        <v>139.30000000000001</v>
      </c>
      <c r="S130">
        <v>133.5</v>
      </c>
      <c r="T130">
        <v>127.6</v>
      </c>
      <c r="U130">
        <v>132.69999999999999</v>
      </c>
      <c r="V130">
        <v>126.4</v>
      </c>
      <c r="W130">
        <v>123.4</v>
      </c>
      <c r="X130">
        <v>126.9</v>
      </c>
      <c r="Y130">
        <v>124.5</v>
      </c>
      <c r="Z130">
        <v>113.9</v>
      </c>
      <c r="AA130">
        <v>122.4</v>
      </c>
      <c r="AB130">
        <v>130.80000000000001</v>
      </c>
      <c r="AC130">
        <v>120.5</v>
      </c>
      <c r="AD130">
        <v>121.9</v>
      </c>
      <c r="AE130">
        <v>131.1</v>
      </c>
      <c r="AF130" t="str">
        <f>IF(AND(CPI_Data[[#This Row],[Date]]&gt;=DATE(2019,3,1),CPI_Data[[#This Row],[Date]]&lt;DATE(2020,3,1)),"Pre-COVID",IF(AND(CPI_Data[[#This Row],[Date]]&gt;=DATE(2020,3,1),CPI_Data[[#This Row],[Date]]&lt;DATE(2021,3,1)),"Post-COVID",""))</f>
        <v/>
      </c>
    </row>
    <row r="131" spans="1:32" hidden="1" x14ac:dyDescent="0.25">
      <c r="A131" t="s">
        <v>30</v>
      </c>
      <c r="B131">
        <v>2016</v>
      </c>
      <c r="C131" s="1" t="s">
        <v>41</v>
      </c>
      <c r="D131" s="2">
        <f>DATE(CPI_Data[[#This Row],[Year]],MATCH(CPI_Data[[#This Row],[Month]],{"January","February","March","April","May","June","July","August","September","October","November","December"},0),1)</f>
        <v>42583</v>
      </c>
      <c r="E131">
        <v>130.1</v>
      </c>
      <c r="F131">
        <v>138.80000000000001</v>
      </c>
      <c r="G131">
        <v>130.30000000000001</v>
      </c>
      <c r="H131">
        <v>135.30000000000001</v>
      </c>
      <c r="I131">
        <v>119.9</v>
      </c>
      <c r="J131">
        <v>140.19999999999999</v>
      </c>
      <c r="K131">
        <v>156.9</v>
      </c>
      <c r="L131">
        <v>172.2</v>
      </c>
      <c r="M131">
        <v>112.1</v>
      </c>
      <c r="N131">
        <v>134.9</v>
      </c>
      <c r="O131">
        <v>128.1</v>
      </c>
      <c r="P131">
        <v>140.69999999999999</v>
      </c>
      <c r="Q131">
        <v>138</v>
      </c>
      <c r="R131">
        <v>138.9</v>
      </c>
      <c r="S131">
        <v>137.80000000000001</v>
      </c>
      <c r="T131">
        <v>133</v>
      </c>
      <c r="U131">
        <v>137.1</v>
      </c>
      <c r="V131" t="s">
        <v>32</v>
      </c>
      <c r="W131">
        <v>129.1</v>
      </c>
      <c r="X131">
        <v>130.6</v>
      </c>
      <c r="Y131">
        <v>127</v>
      </c>
      <c r="Z131">
        <v>116</v>
      </c>
      <c r="AA131">
        <v>125.5</v>
      </c>
      <c r="AB131">
        <v>131.9</v>
      </c>
      <c r="AC131">
        <v>122</v>
      </c>
      <c r="AD131">
        <v>124.2</v>
      </c>
      <c r="AE131">
        <v>133.5</v>
      </c>
      <c r="AF131" t="str">
        <f>IF(AND(CPI_Data[[#This Row],[Date]]&gt;=DATE(2019,3,1),CPI_Data[[#This Row],[Date]]&lt;DATE(2020,3,1)),"Pre-COVID",IF(AND(CPI_Data[[#This Row],[Date]]&gt;=DATE(2020,3,1),CPI_Data[[#This Row],[Date]]&lt;DATE(2021,3,1)),"Post-COVID",""))</f>
        <v/>
      </c>
    </row>
    <row r="132" spans="1:32" hidden="1" x14ac:dyDescent="0.25">
      <c r="A132" t="s">
        <v>33</v>
      </c>
      <c r="B132">
        <v>2016</v>
      </c>
      <c r="C132" s="1" t="s">
        <v>41</v>
      </c>
      <c r="D132" s="2">
        <f>DATE(CPI_Data[[#This Row],[Year]],MATCH(CPI_Data[[#This Row],[Month]],{"January","February","March","April","May","June","July","August","September","October","November","December"},0),1)</f>
        <v>42583</v>
      </c>
      <c r="E132">
        <v>127.6</v>
      </c>
      <c r="F132">
        <v>140.30000000000001</v>
      </c>
      <c r="G132">
        <v>133.69999999999999</v>
      </c>
      <c r="H132">
        <v>132.19999999999999</v>
      </c>
      <c r="I132">
        <v>111.8</v>
      </c>
      <c r="J132">
        <v>135.80000000000001</v>
      </c>
      <c r="K132">
        <v>163.5</v>
      </c>
      <c r="L132">
        <v>182.3</v>
      </c>
      <c r="M132">
        <v>114.6</v>
      </c>
      <c r="N132">
        <v>144.6</v>
      </c>
      <c r="O132">
        <v>121.9</v>
      </c>
      <c r="P132">
        <v>138.1</v>
      </c>
      <c r="Q132">
        <v>137.6</v>
      </c>
      <c r="R132">
        <v>143.6</v>
      </c>
      <c r="S132">
        <v>128.30000000000001</v>
      </c>
      <c r="T132">
        <v>121.4</v>
      </c>
      <c r="U132">
        <v>127.3</v>
      </c>
      <c r="V132">
        <v>127.3</v>
      </c>
      <c r="W132">
        <v>114.7</v>
      </c>
      <c r="X132">
        <v>123.9</v>
      </c>
      <c r="Y132">
        <v>121.2</v>
      </c>
      <c r="Z132">
        <v>110.4</v>
      </c>
      <c r="AA132">
        <v>120.6</v>
      </c>
      <c r="AB132">
        <v>131.5</v>
      </c>
      <c r="AC132">
        <v>120.9</v>
      </c>
      <c r="AD132">
        <v>119.9</v>
      </c>
      <c r="AE132">
        <v>128.4</v>
      </c>
      <c r="AF132" t="str">
        <f>IF(AND(CPI_Data[[#This Row],[Date]]&gt;=DATE(2019,3,1),CPI_Data[[#This Row],[Date]]&lt;DATE(2020,3,1)),"Pre-COVID",IF(AND(CPI_Data[[#This Row],[Date]]&gt;=DATE(2020,3,1),CPI_Data[[#This Row],[Date]]&lt;DATE(2021,3,1)),"Post-COVID",""))</f>
        <v/>
      </c>
    </row>
    <row r="133" spans="1:32" hidden="1" x14ac:dyDescent="0.25">
      <c r="A133" t="s">
        <v>34</v>
      </c>
      <c r="B133">
        <v>2016</v>
      </c>
      <c r="C133" s="1" t="s">
        <v>41</v>
      </c>
      <c r="D133" s="2">
        <f>DATE(CPI_Data[[#This Row],[Year]],MATCH(CPI_Data[[#This Row],[Month]],{"January","February","March","April","May","June","July","August","September","October","November","December"},0),1)</f>
        <v>42583</v>
      </c>
      <c r="E133">
        <v>129.30000000000001</v>
      </c>
      <c r="F133">
        <v>139.30000000000001</v>
      </c>
      <c r="G133">
        <v>131.6</v>
      </c>
      <c r="H133">
        <v>134.1</v>
      </c>
      <c r="I133">
        <v>116.9</v>
      </c>
      <c r="J133">
        <v>138.1</v>
      </c>
      <c r="K133">
        <v>159.1</v>
      </c>
      <c r="L133">
        <v>175.6</v>
      </c>
      <c r="M133">
        <v>112.9</v>
      </c>
      <c r="N133">
        <v>138.1</v>
      </c>
      <c r="O133">
        <v>125.5</v>
      </c>
      <c r="P133">
        <v>139.5</v>
      </c>
      <c r="Q133">
        <v>137.9</v>
      </c>
      <c r="R133">
        <v>140.19999999999999</v>
      </c>
      <c r="S133">
        <v>134.1</v>
      </c>
      <c r="T133">
        <v>128.19999999999999</v>
      </c>
      <c r="U133">
        <v>133.19999999999999</v>
      </c>
      <c r="V133">
        <v>127.3</v>
      </c>
      <c r="W133">
        <v>123.6</v>
      </c>
      <c r="X133">
        <v>127.4</v>
      </c>
      <c r="Y133">
        <v>124.8</v>
      </c>
      <c r="Z133">
        <v>113.1</v>
      </c>
      <c r="AA133">
        <v>122.7</v>
      </c>
      <c r="AB133">
        <v>131.69999999999999</v>
      </c>
      <c r="AC133">
        <v>121.5</v>
      </c>
      <c r="AD133">
        <v>122.1</v>
      </c>
      <c r="AE133">
        <v>131.1</v>
      </c>
      <c r="AF133" t="str">
        <f>IF(AND(CPI_Data[[#This Row],[Date]]&gt;=DATE(2019,3,1),CPI_Data[[#This Row],[Date]]&lt;DATE(2020,3,1)),"Pre-COVID",IF(AND(CPI_Data[[#This Row],[Date]]&gt;=DATE(2020,3,1),CPI_Data[[#This Row],[Date]]&lt;DATE(2021,3,1)),"Post-COVID",""))</f>
        <v/>
      </c>
    </row>
    <row r="134" spans="1:32" hidden="1" x14ac:dyDescent="0.25">
      <c r="A134" t="s">
        <v>30</v>
      </c>
      <c r="B134">
        <v>2016</v>
      </c>
      <c r="C134" s="1" t="s">
        <v>42</v>
      </c>
      <c r="D134" s="2">
        <f>DATE(CPI_Data[[#This Row],[Year]],MATCH(CPI_Data[[#This Row],[Month]],{"January","February","March","April","May","June","July","August","September","October","November","December"},0),1)</f>
        <v>42614</v>
      </c>
      <c r="E134">
        <v>130.80000000000001</v>
      </c>
      <c r="F134">
        <v>138.19999999999999</v>
      </c>
      <c r="G134">
        <v>130.5</v>
      </c>
      <c r="H134">
        <v>135.5</v>
      </c>
      <c r="I134">
        <v>120.2</v>
      </c>
      <c r="J134">
        <v>139.19999999999999</v>
      </c>
      <c r="K134">
        <v>149.5</v>
      </c>
      <c r="L134">
        <v>170.4</v>
      </c>
      <c r="M134">
        <v>113.1</v>
      </c>
      <c r="N134">
        <v>135.80000000000001</v>
      </c>
      <c r="O134">
        <v>128.80000000000001</v>
      </c>
      <c r="P134">
        <v>141.5</v>
      </c>
      <c r="Q134">
        <v>137.19999999999999</v>
      </c>
      <c r="R134">
        <v>139.9</v>
      </c>
      <c r="S134">
        <v>138.5</v>
      </c>
      <c r="T134">
        <v>133.5</v>
      </c>
      <c r="U134">
        <v>137.80000000000001</v>
      </c>
      <c r="V134" t="s">
        <v>32</v>
      </c>
      <c r="W134">
        <v>129.69999999999999</v>
      </c>
      <c r="X134">
        <v>131.1</v>
      </c>
      <c r="Y134">
        <v>127.8</v>
      </c>
      <c r="Z134">
        <v>117</v>
      </c>
      <c r="AA134">
        <v>125.7</v>
      </c>
      <c r="AB134">
        <v>132.19999999999999</v>
      </c>
      <c r="AC134">
        <v>122.8</v>
      </c>
      <c r="AD134">
        <v>124.9</v>
      </c>
      <c r="AE134">
        <v>133.4</v>
      </c>
      <c r="AF134" t="str">
        <f>IF(AND(CPI_Data[[#This Row],[Date]]&gt;=DATE(2019,3,1),CPI_Data[[#This Row],[Date]]&lt;DATE(2020,3,1)),"Pre-COVID",IF(AND(CPI_Data[[#This Row],[Date]]&gt;=DATE(2020,3,1),CPI_Data[[#This Row],[Date]]&lt;DATE(2021,3,1)),"Post-COVID",""))</f>
        <v/>
      </c>
    </row>
    <row r="135" spans="1:32" hidden="1" x14ac:dyDescent="0.25">
      <c r="A135" t="s">
        <v>33</v>
      </c>
      <c r="B135">
        <v>2016</v>
      </c>
      <c r="C135" s="1" t="s">
        <v>42</v>
      </c>
      <c r="D135" s="2">
        <f>DATE(CPI_Data[[#This Row],[Year]],MATCH(CPI_Data[[#This Row],[Month]],{"January","February","March","April","May","June","July","August","September","October","November","December"},0),1)</f>
        <v>42614</v>
      </c>
      <c r="E135">
        <v>128.1</v>
      </c>
      <c r="F135">
        <v>137.69999999999999</v>
      </c>
      <c r="G135">
        <v>130.6</v>
      </c>
      <c r="H135">
        <v>132.6</v>
      </c>
      <c r="I135">
        <v>111.9</v>
      </c>
      <c r="J135">
        <v>132.5</v>
      </c>
      <c r="K135">
        <v>152.9</v>
      </c>
      <c r="L135">
        <v>173.6</v>
      </c>
      <c r="M135">
        <v>115.1</v>
      </c>
      <c r="N135">
        <v>144.80000000000001</v>
      </c>
      <c r="O135">
        <v>122.1</v>
      </c>
      <c r="P135">
        <v>138.80000000000001</v>
      </c>
      <c r="Q135">
        <v>135.69999999999999</v>
      </c>
      <c r="R135">
        <v>143.9</v>
      </c>
      <c r="S135">
        <v>128.69999999999999</v>
      </c>
      <c r="T135">
        <v>121.6</v>
      </c>
      <c r="U135">
        <v>127.7</v>
      </c>
      <c r="V135">
        <v>127.9</v>
      </c>
      <c r="W135">
        <v>114.8</v>
      </c>
      <c r="X135">
        <v>124.3</v>
      </c>
      <c r="Y135">
        <v>121.4</v>
      </c>
      <c r="Z135">
        <v>111.8</v>
      </c>
      <c r="AA135">
        <v>120.8</v>
      </c>
      <c r="AB135">
        <v>131.6</v>
      </c>
      <c r="AC135">
        <v>121.2</v>
      </c>
      <c r="AD135">
        <v>120.5</v>
      </c>
      <c r="AE135">
        <v>128</v>
      </c>
      <c r="AF135" t="str">
        <f>IF(AND(CPI_Data[[#This Row],[Date]]&gt;=DATE(2019,3,1),CPI_Data[[#This Row],[Date]]&lt;DATE(2020,3,1)),"Pre-COVID",IF(AND(CPI_Data[[#This Row],[Date]]&gt;=DATE(2020,3,1),CPI_Data[[#This Row],[Date]]&lt;DATE(2021,3,1)),"Post-COVID",""))</f>
        <v/>
      </c>
    </row>
    <row r="136" spans="1:32" hidden="1" x14ac:dyDescent="0.25">
      <c r="A136" t="s">
        <v>34</v>
      </c>
      <c r="B136">
        <v>2016</v>
      </c>
      <c r="C136" s="1" t="s">
        <v>42</v>
      </c>
      <c r="D136" s="2">
        <f>DATE(CPI_Data[[#This Row],[Year]],MATCH(CPI_Data[[#This Row],[Month]],{"January","February","March","April","May","June","July","August","September","October","November","December"},0),1)</f>
        <v>42614</v>
      </c>
      <c r="E136">
        <v>129.9</v>
      </c>
      <c r="F136">
        <v>138</v>
      </c>
      <c r="G136">
        <v>130.5</v>
      </c>
      <c r="H136">
        <v>134.4</v>
      </c>
      <c r="I136">
        <v>117.2</v>
      </c>
      <c r="J136">
        <v>136.1</v>
      </c>
      <c r="K136">
        <v>150.69999999999999</v>
      </c>
      <c r="L136">
        <v>171.5</v>
      </c>
      <c r="M136">
        <v>113.8</v>
      </c>
      <c r="N136">
        <v>138.80000000000001</v>
      </c>
      <c r="O136">
        <v>126</v>
      </c>
      <c r="P136">
        <v>140.19999999999999</v>
      </c>
      <c r="Q136">
        <v>136.6</v>
      </c>
      <c r="R136">
        <v>141</v>
      </c>
      <c r="S136">
        <v>134.6</v>
      </c>
      <c r="T136">
        <v>128.6</v>
      </c>
      <c r="U136">
        <v>133.80000000000001</v>
      </c>
      <c r="V136">
        <v>127.9</v>
      </c>
      <c r="W136">
        <v>124.1</v>
      </c>
      <c r="X136">
        <v>127.9</v>
      </c>
      <c r="Y136">
        <v>125.4</v>
      </c>
      <c r="Z136">
        <v>114.3</v>
      </c>
      <c r="AA136">
        <v>122.9</v>
      </c>
      <c r="AB136">
        <v>131.80000000000001</v>
      </c>
      <c r="AC136">
        <v>122.1</v>
      </c>
      <c r="AD136">
        <v>122.8</v>
      </c>
      <c r="AE136">
        <v>130.9</v>
      </c>
      <c r="AF136" t="str">
        <f>IF(AND(CPI_Data[[#This Row],[Date]]&gt;=DATE(2019,3,1),CPI_Data[[#This Row],[Date]]&lt;DATE(2020,3,1)),"Pre-COVID",IF(AND(CPI_Data[[#This Row],[Date]]&gt;=DATE(2020,3,1),CPI_Data[[#This Row],[Date]]&lt;DATE(2021,3,1)),"Post-COVID",""))</f>
        <v/>
      </c>
    </row>
    <row r="137" spans="1:32" hidden="1" x14ac:dyDescent="0.25">
      <c r="A137" t="s">
        <v>30</v>
      </c>
      <c r="B137">
        <v>2016</v>
      </c>
      <c r="C137" s="1" t="s">
        <v>43</v>
      </c>
      <c r="D137" s="2">
        <f>DATE(CPI_Data[[#This Row],[Year]],MATCH(CPI_Data[[#This Row],[Month]],{"January","February","March","April","May","June","July","August","September","October","November","December"},0),1)</f>
        <v>42644</v>
      </c>
      <c r="E137">
        <v>131.30000000000001</v>
      </c>
      <c r="F137">
        <v>137.6</v>
      </c>
      <c r="G137">
        <v>130.1</v>
      </c>
      <c r="H137">
        <v>136</v>
      </c>
      <c r="I137">
        <v>120.8</v>
      </c>
      <c r="J137">
        <v>138.4</v>
      </c>
      <c r="K137">
        <v>149.19999999999999</v>
      </c>
      <c r="L137">
        <v>170.2</v>
      </c>
      <c r="M137">
        <v>113.4</v>
      </c>
      <c r="N137">
        <v>136.30000000000001</v>
      </c>
      <c r="O137">
        <v>128.69999999999999</v>
      </c>
      <c r="P137">
        <v>142.4</v>
      </c>
      <c r="Q137">
        <v>137.4</v>
      </c>
      <c r="R137">
        <v>140.9</v>
      </c>
      <c r="S137">
        <v>139.6</v>
      </c>
      <c r="T137">
        <v>134.30000000000001</v>
      </c>
      <c r="U137">
        <v>138.80000000000001</v>
      </c>
      <c r="V137" t="s">
        <v>32</v>
      </c>
      <c r="W137">
        <v>129.80000000000001</v>
      </c>
      <c r="X137">
        <v>131.80000000000001</v>
      </c>
      <c r="Y137">
        <v>128.69999999999999</v>
      </c>
      <c r="Z137">
        <v>117.8</v>
      </c>
      <c r="AA137">
        <v>126.5</v>
      </c>
      <c r="AB137">
        <v>133</v>
      </c>
      <c r="AC137">
        <v>123</v>
      </c>
      <c r="AD137">
        <v>125.7</v>
      </c>
      <c r="AE137">
        <v>133.80000000000001</v>
      </c>
      <c r="AF137" t="str">
        <f>IF(AND(CPI_Data[[#This Row],[Date]]&gt;=DATE(2019,3,1),CPI_Data[[#This Row],[Date]]&lt;DATE(2020,3,1)),"Pre-COVID",IF(AND(CPI_Data[[#This Row],[Date]]&gt;=DATE(2020,3,1),CPI_Data[[#This Row],[Date]]&lt;DATE(2021,3,1)),"Post-COVID",""))</f>
        <v/>
      </c>
    </row>
    <row r="138" spans="1:32" hidden="1" x14ac:dyDescent="0.25">
      <c r="A138" t="s">
        <v>33</v>
      </c>
      <c r="B138">
        <v>2016</v>
      </c>
      <c r="C138" s="1" t="s">
        <v>43</v>
      </c>
      <c r="D138" s="2">
        <f>DATE(CPI_Data[[#This Row],[Year]],MATCH(CPI_Data[[#This Row],[Month]],{"January","February","March","April","May","June","July","August","September","October","November","December"},0),1)</f>
        <v>42644</v>
      </c>
      <c r="E138">
        <v>128.69999999999999</v>
      </c>
      <c r="F138">
        <v>138.4</v>
      </c>
      <c r="G138">
        <v>130.30000000000001</v>
      </c>
      <c r="H138">
        <v>132.69999999999999</v>
      </c>
      <c r="I138">
        <v>112.5</v>
      </c>
      <c r="J138">
        <v>130.4</v>
      </c>
      <c r="K138">
        <v>155.1</v>
      </c>
      <c r="L138">
        <v>175.7</v>
      </c>
      <c r="M138">
        <v>115.4</v>
      </c>
      <c r="N138">
        <v>145.30000000000001</v>
      </c>
      <c r="O138">
        <v>122.5</v>
      </c>
      <c r="P138">
        <v>139.6</v>
      </c>
      <c r="Q138">
        <v>136.30000000000001</v>
      </c>
      <c r="R138">
        <v>144.30000000000001</v>
      </c>
      <c r="S138">
        <v>129.1</v>
      </c>
      <c r="T138">
        <v>121.9</v>
      </c>
      <c r="U138">
        <v>128</v>
      </c>
      <c r="V138">
        <v>128.69999999999999</v>
      </c>
      <c r="W138">
        <v>115.2</v>
      </c>
      <c r="X138">
        <v>124.5</v>
      </c>
      <c r="Y138">
        <v>121.8</v>
      </c>
      <c r="Z138">
        <v>112.8</v>
      </c>
      <c r="AA138">
        <v>121.2</v>
      </c>
      <c r="AB138">
        <v>131.9</v>
      </c>
      <c r="AC138">
        <v>120.8</v>
      </c>
      <c r="AD138">
        <v>120.9</v>
      </c>
      <c r="AE138">
        <v>128.6</v>
      </c>
      <c r="AF138" t="str">
        <f>IF(AND(CPI_Data[[#This Row],[Date]]&gt;=DATE(2019,3,1),CPI_Data[[#This Row],[Date]]&lt;DATE(2020,3,1)),"Pre-COVID",IF(AND(CPI_Data[[#This Row],[Date]]&gt;=DATE(2020,3,1),CPI_Data[[#This Row],[Date]]&lt;DATE(2021,3,1)),"Post-COVID",""))</f>
        <v/>
      </c>
    </row>
    <row r="139" spans="1:32" hidden="1" x14ac:dyDescent="0.25">
      <c r="A139" t="s">
        <v>34</v>
      </c>
      <c r="B139">
        <v>2016</v>
      </c>
      <c r="C139" s="1" t="s">
        <v>43</v>
      </c>
      <c r="D139" s="2">
        <f>DATE(CPI_Data[[#This Row],[Year]],MATCH(CPI_Data[[#This Row],[Month]],{"January","February","March","April","May","June","July","August","September","October","November","December"},0),1)</f>
        <v>42644</v>
      </c>
      <c r="E139">
        <v>130.5</v>
      </c>
      <c r="F139">
        <v>137.9</v>
      </c>
      <c r="G139">
        <v>130.19999999999999</v>
      </c>
      <c r="H139">
        <v>134.80000000000001</v>
      </c>
      <c r="I139">
        <v>117.8</v>
      </c>
      <c r="J139">
        <v>134.69999999999999</v>
      </c>
      <c r="K139">
        <v>151.19999999999999</v>
      </c>
      <c r="L139">
        <v>172.1</v>
      </c>
      <c r="M139">
        <v>114.1</v>
      </c>
      <c r="N139">
        <v>139.30000000000001</v>
      </c>
      <c r="O139">
        <v>126.1</v>
      </c>
      <c r="P139">
        <v>141.1</v>
      </c>
      <c r="Q139">
        <v>137</v>
      </c>
      <c r="R139">
        <v>141.80000000000001</v>
      </c>
      <c r="S139">
        <v>135.5</v>
      </c>
      <c r="T139">
        <v>129.1</v>
      </c>
      <c r="U139">
        <v>134.5</v>
      </c>
      <c r="V139">
        <v>128.69999999999999</v>
      </c>
      <c r="W139">
        <v>124.3</v>
      </c>
      <c r="X139">
        <v>128.4</v>
      </c>
      <c r="Y139">
        <v>126.1</v>
      </c>
      <c r="Z139">
        <v>115.2</v>
      </c>
      <c r="AA139">
        <v>123.5</v>
      </c>
      <c r="AB139">
        <v>132.4</v>
      </c>
      <c r="AC139">
        <v>122.1</v>
      </c>
      <c r="AD139">
        <v>123.4</v>
      </c>
      <c r="AE139">
        <v>131.4</v>
      </c>
      <c r="AF139" t="str">
        <f>IF(AND(CPI_Data[[#This Row],[Date]]&gt;=DATE(2019,3,1),CPI_Data[[#This Row],[Date]]&lt;DATE(2020,3,1)),"Pre-COVID",IF(AND(CPI_Data[[#This Row],[Date]]&gt;=DATE(2020,3,1),CPI_Data[[#This Row],[Date]]&lt;DATE(2021,3,1)),"Post-COVID",""))</f>
        <v/>
      </c>
    </row>
    <row r="140" spans="1:32" hidden="1" x14ac:dyDescent="0.25">
      <c r="A140" t="s">
        <v>30</v>
      </c>
      <c r="B140">
        <v>2016</v>
      </c>
      <c r="C140" s="1" t="s">
        <v>45</v>
      </c>
      <c r="D140" s="2">
        <f>DATE(CPI_Data[[#This Row],[Year]],MATCH(CPI_Data[[#This Row],[Month]],{"January","February","March","April","May","June","July","August","September","October","November","December"},0),1)</f>
        <v>42675</v>
      </c>
      <c r="E140">
        <v>132</v>
      </c>
      <c r="F140">
        <v>137.4</v>
      </c>
      <c r="G140">
        <v>130.6</v>
      </c>
      <c r="H140">
        <v>136.19999999999999</v>
      </c>
      <c r="I140">
        <v>121.1</v>
      </c>
      <c r="J140">
        <v>136.9</v>
      </c>
      <c r="K140">
        <v>141.80000000000001</v>
      </c>
      <c r="L140">
        <v>170</v>
      </c>
      <c r="M140">
        <v>113.4</v>
      </c>
      <c r="N140">
        <v>136.80000000000001</v>
      </c>
      <c r="O140">
        <v>128.69999999999999</v>
      </c>
      <c r="P140">
        <v>143.1</v>
      </c>
      <c r="Q140">
        <v>136.6</v>
      </c>
      <c r="R140">
        <v>141.19999999999999</v>
      </c>
      <c r="S140">
        <v>139.9</v>
      </c>
      <c r="T140">
        <v>134.5</v>
      </c>
      <c r="U140">
        <v>139.19999999999999</v>
      </c>
      <c r="V140" t="s">
        <v>32</v>
      </c>
      <c r="W140">
        <v>130.30000000000001</v>
      </c>
      <c r="X140">
        <v>132.1</v>
      </c>
      <c r="Y140">
        <v>129.1</v>
      </c>
      <c r="Z140">
        <v>118.2</v>
      </c>
      <c r="AA140">
        <v>126.9</v>
      </c>
      <c r="AB140">
        <v>133.69999999999999</v>
      </c>
      <c r="AC140">
        <v>123.5</v>
      </c>
      <c r="AD140">
        <v>126.1</v>
      </c>
      <c r="AE140">
        <v>133.6</v>
      </c>
      <c r="AF140" t="str">
        <f>IF(AND(CPI_Data[[#This Row],[Date]]&gt;=DATE(2019,3,1),CPI_Data[[#This Row],[Date]]&lt;DATE(2020,3,1)),"Pre-COVID",IF(AND(CPI_Data[[#This Row],[Date]]&gt;=DATE(2020,3,1),CPI_Data[[#This Row],[Date]]&lt;DATE(2021,3,1)),"Post-COVID",""))</f>
        <v/>
      </c>
    </row>
    <row r="141" spans="1:32" hidden="1" x14ac:dyDescent="0.25">
      <c r="A141" t="s">
        <v>33</v>
      </c>
      <c r="B141">
        <v>2016</v>
      </c>
      <c r="C141" s="1" t="s">
        <v>45</v>
      </c>
      <c r="D141" s="2">
        <f>DATE(CPI_Data[[#This Row],[Year]],MATCH(CPI_Data[[#This Row],[Month]],{"January","February","March","April","May","June","July","August","September","October","November","December"},0),1)</f>
        <v>42675</v>
      </c>
      <c r="E141">
        <v>130.19999999999999</v>
      </c>
      <c r="F141">
        <v>138.5</v>
      </c>
      <c r="G141">
        <v>134.1</v>
      </c>
      <c r="H141">
        <v>132.9</v>
      </c>
      <c r="I141">
        <v>112.6</v>
      </c>
      <c r="J141">
        <v>130.80000000000001</v>
      </c>
      <c r="K141">
        <v>142</v>
      </c>
      <c r="L141">
        <v>174.9</v>
      </c>
      <c r="M141">
        <v>115.6</v>
      </c>
      <c r="N141">
        <v>145.4</v>
      </c>
      <c r="O141">
        <v>122.7</v>
      </c>
      <c r="P141">
        <v>140.30000000000001</v>
      </c>
      <c r="Q141">
        <v>135.19999999999999</v>
      </c>
      <c r="R141">
        <v>144.30000000000001</v>
      </c>
      <c r="S141">
        <v>129.6</v>
      </c>
      <c r="T141">
        <v>122.1</v>
      </c>
      <c r="U141">
        <v>128.5</v>
      </c>
      <c r="V141">
        <v>129.1</v>
      </c>
      <c r="W141">
        <v>116.2</v>
      </c>
      <c r="X141">
        <v>124.7</v>
      </c>
      <c r="Y141">
        <v>122.1</v>
      </c>
      <c r="Z141">
        <v>113.4</v>
      </c>
      <c r="AA141">
        <v>121.7</v>
      </c>
      <c r="AB141">
        <v>132.1</v>
      </c>
      <c r="AC141">
        <v>121.3</v>
      </c>
      <c r="AD141">
        <v>121.3</v>
      </c>
      <c r="AE141">
        <v>128.5</v>
      </c>
      <c r="AF141" t="str">
        <f>IF(AND(CPI_Data[[#This Row],[Date]]&gt;=DATE(2019,3,1),CPI_Data[[#This Row],[Date]]&lt;DATE(2020,3,1)),"Pre-COVID",IF(AND(CPI_Data[[#This Row],[Date]]&gt;=DATE(2020,3,1),CPI_Data[[#This Row],[Date]]&lt;DATE(2021,3,1)),"Post-COVID",""))</f>
        <v/>
      </c>
    </row>
    <row r="142" spans="1:32" hidden="1" x14ac:dyDescent="0.25">
      <c r="A142" t="s">
        <v>34</v>
      </c>
      <c r="B142">
        <v>2016</v>
      </c>
      <c r="C142" s="1" t="s">
        <v>45</v>
      </c>
      <c r="D142" s="2">
        <f>DATE(CPI_Data[[#This Row],[Year]],MATCH(CPI_Data[[#This Row],[Month]],{"January","February","March","April","May","June","July","August","September","October","November","December"},0),1)</f>
        <v>42675</v>
      </c>
      <c r="E142">
        <v>131.4</v>
      </c>
      <c r="F142">
        <v>137.80000000000001</v>
      </c>
      <c r="G142">
        <v>132</v>
      </c>
      <c r="H142">
        <v>135</v>
      </c>
      <c r="I142">
        <v>118</v>
      </c>
      <c r="J142">
        <v>134.1</v>
      </c>
      <c r="K142">
        <v>141.9</v>
      </c>
      <c r="L142">
        <v>171.7</v>
      </c>
      <c r="M142">
        <v>114.1</v>
      </c>
      <c r="N142">
        <v>139.69999999999999</v>
      </c>
      <c r="O142">
        <v>126.2</v>
      </c>
      <c r="P142">
        <v>141.80000000000001</v>
      </c>
      <c r="Q142">
        <v>136.1</v>
      </c>
      <c r="R142">
        <v>142</v>
      </c>
      <c r="S142">
        <v>135.80000000000001</v>
      </c>
      <c r="T142">
        <v>129.30000000000001</v>
      </c>
      <c r="U142">
        <v>135</v>
      </c>
      <c r="V142">
        <v>129.1</v>
      </c>
      <c r="W142">
        <v>125</v>
      </c>
      <c r="X142">
        <v>128.6</v>
      </c>
      <c r="Y142">
        <v>126.4</v>
      </c>
      <c r="Z142">
        <v>115.7</v>
      </c>
      <c r="AA142">
        <v>124</v>
      </c>
      <c r="AB142">
        <v>132.80000000000001</v>
      </c>
      <c r="AC142">
        <v>122.6</v>
      </c>
      <c r="AD142">
        <v>123.8</v>
      </c>
      <c r="AE142">
        <v>131.19999999999999</v>
      </c>
      <c r="AF142" t="str">
        <f>IF(AND(CPI_Data[[#This Row],[Date]]&gt;=DATE(2019,3,1),CPI_Data[[#This Row],[Date]]&lt;DATE(2020,3,1)),"Pre-COVID",IF(AND(CPI_Data[[#This Row],[Date]]&gt;=DATE(2020,3,1),CPI_Data[[#This Row],[Date]]&lt;DATE(2021,3,1)),"Post-COVID",""))</f>
        <v/>
      </c>
    </row>
    <row r="143" spans="1:32" hidden="1" x14ac:dyDescent="0.25">
      <c r="A143" t="s">
        <v>30</v>
      </c>
      <c r="B143">
        <v>2016</v>
      </c>
      <c r="C143" s="1" t="s">
        <v>46</v>
      </c>
      <c r="D143" s="2">
        <f>DATE(CPI_Data[[#This Row],[Year]],MATCH(CPI_Data[[#This Row],[Month]],{"January","February","March","April","May","June","July","August","September","October","November","December"},0),1)</f>
        <v>42705</v>
      </c>
      <c r="E143">
        <v>132.6</v>
      </c>
      <c r="F143">
        <v>137.30000000000001</v>
      </c>
      <c r="G143">
        <v>131.6</v>
      </c>
      <c r="H143">
        <v>136.30000000000001</v>
      </c>
      <c r="I143">
        <v>121.6</v>
      </c>
      <c r="J143">
        <v>135.6</v>
      </c>
      <c r="K143">
        <v>127.5</v>
      </c>
      <c r="L143">
        <v>167.9</v>
      </c>
      <c r="M143">
        <v>113.8</v>
      </c>
      <c r="N143">
        <v>137.5</v>
      </c>
      <c r="O143">
        <v>129.1</v>
      </c>
      <c r="P143">
        <v>143.6</v>
      </c>
      <c r="Q143">
        <v>134.69999999999999</v>
      </c>
      <c r="R143">
        <v>142.4</v>
      </c>
      <c r="S143">
        <v>140.4</v>
      </c>
      <c r="T143">
        <v>135.19999999999999</v>
      </c>
      <c r="U143">
        <v>139.69999999999999</v>
      </c>
      <c r="V143" t="s">
        <v>32</v>
      </c>
      <c r="W143">
        <v>132</v>
      </c>
      <c r="X143">
        <v>132.9</v>
      </c>
      <c r="Y143">
        <v>129.69999999999999</v>
      </c>
      <c r="Z143">
        <v>118.6</v>
      </c>
      <c r="AA143">
        <v>127.3</v>
      </c>
      <c r="AB143">
        <v>134.19999999999999</v>
      </c>
      <c r="AC143">
        <v>121.9</v>
      </c>
      <c r="AD143">
        <v>126.3</v>
      </c>
      <c r="AE143">
        <v>132.80000000000001</v>
      </c>
      <c r="AF143" t="str">
        <f>IF(AND(CPI_Data[[#This Row],[Date]]&gt;=DATE(2019,3,1),CPI_Data[[#This Row],[Date]]&lt;DATE(2020,3,1)),"Pre-COVID",IF(AND(CPI_Data[[#This Row],[Date]]&gt;=DATE(2020,3,1),CPI_Data[[#This Row],[Date]]&lt;DATE(2021,3,1)),"Post-COVID",""))</f>
        <v/>
      </c>
    </row>
    <row r="144" spans="1:32" hidden="1" x14ac:dyDescent="0.25">
      <c r="A144" t="s">
        <v>33</v>
      </c>
      <c r="B144">
        <v>2016</v>
      </c>
      <c r="C144" s="1" t="s">
        <v>46</v>
      </c>
      <c r="D144" s="2">
        <f>DATE(CPI_Data[[#This Row],[Year]],MATCH(CPI_Data[[#This Row],[Month]],{"January","February","March","April","May","June","July","August","September","October","November","December"},0),1)</f>
        <v>42705</v>
      </c>
      <c r="E144">
        <v>131.6</v>
      </c>
      <c r="F144">
        <v>138.19999999999999</v>
      </c>
      <c r="G144">
        <v>134.9</v>
      </c>
      <c r="H144">
        <v>133.1</v>
      </c>
      <c r="I144">
        <v>113.5</v>
      </c>
      <c r="J144">
        <v>129.30000000000001</v>
      </c>
      <c r="K144">
        <v>121.1</v>
      </c>
      <c r="L144">
        <v>170.3</v>
      </c>
      <c r="M144">
        <v>115.5</v>
      </c>
      <c r="N144">
        <v>145.5</v>
      </c>
      <c r="O144">
        <v>123.1</v>
      </c>
      <c r="P144">
        <v>140.9</v>
      </c>
      <c r="Q144">
        <v>132.80000000000001</v>
      </c>
      <c r="R144">
        <v>145</v>
      </c>
      <c r="S144">
        <v>130</v>
      </c>
      <c r="T144">
        <v>122.2</v>
      </c>
      <c r="U144">
        <v>128.80000000000001</v>
      </c>
      <c r="V144">
        <v>128.5</v>
      </c>
      <c r="W144">
        <v>117.8</v>
      </c>
      <c r="X144">
        <v>125</v>
      </c>
      <c r="Y144">
        <v>122.3</v>
      </c>
      <c r="Z144">
        <v>113.7</v>
      </c>
      <c r="AA144">
        <v>121.8</v>
      </c>
      <c r="AB144">
        <v>132.30000000000001</v>
      </c>
      <c r="AC144">
        <v>119.9</v>
      </c>
      <c r="AD144">
        <v>121.4</v>
      </c>
      <c r="AE144">
        <v>127.6</v>
      </c>
      <c r="AF144" t="str">
        <f>IF(AND(CPI_Data[[#This Row],[Date]]&gt;=DATE(2019,3,1),CPI_Data[[#This Row],[Date]]&lt;DATE(2020,3,1)),"Pre-COVID",IF(AND(CPI_Data[[#This Row],[Date]]&gt;=DATE(2020,3,1),CPI_Data[[#This Row],[Date]]&lt;DATE(2021,3,1)),"Post-COVID",""))</f>
        <v/>
      </c>
    </row>
    <row r="145" spans="1:32" hidden="1" x14ac:dyDescent="0.25">
      <c r="A145" t="s">
        <v>34</v>
      </c>
      <c r="B145">
        <v>2016</v>
      </c>
      <c r="C145" s="1" t="s">
        <v>46</v>
      </c>
      <c r="D145" s="2">
        <f>DATE(CPI_Data[[#This Row],[Year]],MATCH(CPI_Data[[#This Row],[Month]],{"January","February","March","April","May","June","July","August","September","October","November","December"},0),1)</f>
        <v>42705</v>
      </c>
      <c r="E145">
        <v>132.30000000000001</v>
      </c>
      <c r="F145">
        <v>137.6</v>
      </c>
      <c r="G145">
        <v>132.9</v>
      </c>
      <c r="H145">
        <v>135.1</v>
      </c>
      <c r="I145">
        <v>118.6</v>
      </c>
      <c r="J145">
        <v>132.69999999999999</v>
      </c>
      <c r="K145">
        <v>125.3</v>
      </c>
      <c r="L145">
        <v>168.7</v>
      </c>
      <c r="M145">
        <v>114.4</v>
      </c>
      <c r="N145">
        <v>140.19999999999999</v>
      </c>
      <c r="O145">
        <v>126.6</v>
      </c>
      <c r="P145">
        <v>142.30000000000001</v>
      </c>
      <c r="Q145">
        <v>134</v>
      </c>
      <c r="R145">
        <v>143.1</v>
      </c>
      <c r="S145">
        <v>136.30000000000001</v>
      </c>
      <c r="T145">
        <v>129.80000000000001</v>
      </c>
      <c r="U145">
        <v>135.4</v>
      </c>
      <c r="V145">
        <v>128.5</v>
      </c>
      <c r="W145">
        <v>126.6</v>
      </c>
      <c r="X145">
        <v>129.19999999999999</v>
      </c>
      <c r="Y145">
        <v>126.9</v>
      </c>
      <c r="Z145">
        <v>116</v>
      </c>
      <c r="AA145">
        <v>124.2</v>
      </c>
      <c r="AB145">
        <v>133.1</v>
      </c>
      <c r="AC145">
        <v>121.1</v>
      </c>
      <c r="AD145">
        <v>123.9</v>
      </c>
      <c r="AE145">
        <v>130.4</v>
      </c>
      <c r="AF145" t="str">
        <f>IF(AND(CPI_Data[[#This Row],[Date]]&gt;=DATE(2019,3,1),CPI_Data[[#This Row],[Date]]&lt;DATE(2020,3,1)),"Pre-COVID",IF(AND(CPI_Data[[#This Row],[Date]]&gt;=DATE(2020,3,1),CPI_Data[[#This Row],[Date]]&lt;DATE(2021,3,1)),"Post-COVID",""))</f>
        <v/>
      </c>
    </row>
    <row r="146" spans="1:32" hidden="1" x14ac:dyDescent="0.25">
      <c r="A146" t="s">
        <v>30</v>
      </c>
      <c r="B146">
        <v>2017</v>
      </c>
      <c r="C146" s="1" t="s">
        <v>31</v>
      </c>
      <c r="D146" s="2">
        <f>DATE(CPI_Data[[#This Row],[Year]],MATCH(CPI_Data[[#This Row],[Month]],{"January","February","March","April","May","June","July","August","September","October","November","December"},0),1)</f>
        <v>42736</v>
      </c>
      <c r="E146">
        <v>133.1</v>
      </c>
      <c r="F146">
        <v>137.80000000000001</v>
      </c>
      <c r="G146">
        <v>131.9</v>
      </c>
      <c r="H146">
        <v>136.69999999999999</v>
      </c>
      <c r="I146">
        <v>122</v>
      </c>
      <c r="J146">
        <v>136</v>
      </c>
      <c r="K146">
        <v>119.8</v>
      </c>
      <c r="L146">
        <v>161.69999999999999</v>
      </c>
      <c r="M146">
        <v>114.8</v>
      </c>
      <c r="N146">
        <v>136.9</v>
      </c>
      <c r="O146">
        <v>129</v>
      </c>
      <c r="P146">
        <v>143.9</v>
      </c>
      <c r="Q146">
        <v>133.69999999999999</v>
      </c>
      <c r="R146">
        <v>143.1</v>
      </c>
      <c r="S146">
        <v>140.69999999999999</v>
      </c>
      <c r="T146">
        <v>135.80000000000001</v>
      </c>
      <c r="U146">
        <v>140</v>
      </c>
      <c r="V146" t="s">
        <v>32</v>
      </c>
      <c r="W146">
        <v>132.1</v>
      </c>
      <c r="X146">
        <v>133.19999999999999</v>
      </c>
      <c r="Y146">
        <v>129.9</v>
      </c>
      <c r="Z146">
        <v>119.1</v>
      </c>
      <c r="AA146">
        <v>127</v>
      </c>
      <c r="AB146">
        <v>134.6</v>
      </c>
      <c r="AC146">
        <v>122.3</v>
      </c>
      <c r="AD146">
        <v>126.6</v>
      </c>
      <c r="AE146">
        <v>132.4</v>
      </c>
      <c r="AF146" t="str">
        <f>IF(AND(CPI_Data[[#This Row],[Date]]&gt;=DATE(2019,3,1),CPI_Data[[#This Row],[Date]]&lt;DATE(2020,3,1)),"Pre-COVID",IF(AND(CPI_Data[[#This Row],[Date]]&gt;=DATE(2020,3,1),CPI_Data[[#This Row],[Date]]&lt;DATE(2021,3,1)),"Post-COVID",""))</f>
        <v/>
      </c>
    </row>
    <row r="147" spans="1:32" hidden="1" x14ac:dyDescent="0.25">
      <c r="A147" t="s">
        <v>33</v>
      </c>
      <c r="B147">
        <v>2017</v>
      </c>
      <c r="C147" s="1" t="s">
        <v>31</v>
      </c>
      <c r="D147" s="2">
        <f>DATE(CPI_Data[[#This Row],[Year]],MATCH(CPI_Data[[#This Row],[Month]],{"January","February","March","April","May","June","July","August","September","October","November","December"},0),1)</f>
        <v>42736</v>
      </c>
      <c r="E147">
        <v>132.19999999999999</v>
      </c>
      <c r="F147">
        <v>138.9</v>
      </c>
      <c r="G147">
        <v>132.6</v>
      </c>
      <c r="H147">
        <v>133.1</v>
      </c>
      <c r="I147">
        <v>114</v>
      </c>
      <c r="J147">
        <v>129.6</v>
      </c>
      <c r="K147">
        <v>118.7</v>
      </c>
      <c r="L147">
        <v>155.1</v>
      </c>
      <c r="M147">
        <v>117.3</v>
      </c>
      <c r="N147">
        <v>144.9</v>
      </c>
      <c r="O147">
        <v>123.2</v>
      </c>
      <c r="P147">
        <v>141.6</v>
      </c>
      <c r="Q147">
        <v>132</v>
      </c>
      <c r="R147">
        <v>145.6</v>
      </c>
      <c r="S147">
        <v>130.19999999999999</v>
      </c>
      <c r="T147">
        <v>122.3</v>
      </c>
      <c r="U147">
        <v>129</v>
      </c>
      <c r="V147">
        <v>129.6</v>
      </c>
      <c r="W147">
        <v>118</v>
      </c>
      <c r="X147">
        <v>125.1</v>
      </c>
      <c r="Y147">
        <v>122.6</v>
      </c>
      <c r="Z147">
        <v>115.2</v>
      </c>
      <c r="AA147">
        <v>122</v>
      </c>
      <c r="AB147">
        <v>132.4</v>
      </c>
      <c r="AC147">
        <v>120.9</v>
      </c>
      <c r="AD147">
        <v>122.1</v>
      </c>
      <c r="AE147">
        <v>127.8</v>
      </c>
      <c r="AF147" t="str">
        <f>IF(AND(CPI_Data[[#This Row],[Date]]&gt;=DATE(2019,3,1),CPI_Data[[#This Row],[Date]]&lt;DATE(2020,3,1)),"Pre-COVID",IF(AND(CPI_Data[[#This Row],[Date]]&gt;=DATE(2020,3,1),CPI_Data[[#This Row],[Date]]&lt;DATE(2021,3,1)),"Post-COVID",""))</f>
        <v/>
      </c>
    </row>
    <row r="148" spans="1:32" hidden="1" x14ac:dyDescent="0.25">
      <c r="A148" t="s">
        <v>34</v>
      </c>
      <c r="B148">
        <v>2017</v>
      </c>
      <c r="C148" s="1" t="s">
        <v>31</v>
      </c>
      <c r="D148" s="2">
        <f>DATE(CPI_Data[[#This Row],[Year]],MATCH(CPI_Data[[#This Row],[Month]],{"January","February","March","April","May","June","July","August","September","October","November","December"},0),1)</f>
        <v>42736</v>
      </c>
      <c r="E148">
        <v>132.80000000000001</v>
      </c>
      <c r="F148">
        <v>138.19999999999999</v>
      </c>
      <c r="G148">
        <v>132.19999999999999</v>
      </c>
      <c r="H148">
        <v>135.4</v>
      </c>
      <c r="I148">
        <v>119.1</v>
      </c>
      <c r="J148">
        <v>133</v>
      </c>
      <c r="K148">
        <v>119.4</v>
      </c>
      <c r="L148">
        <v>159.5</v>
      </c>
      <c r="M148">
        <v>115.6</v>
      </c>
      <c r="N148">
        <v>139.6</v>
      </c>
      <c r="O148">
        <v>126.6</v>
      </c>
      <c r="P148">
        <v>142.80000000000001</v>
      </c>
      <c r="Q148">
        <v>133.1</v>
      </c>
      <c r="R148">
        <v>143.80000000000001</v>
      </c>
      <c r="S148">
        <v>136.6</v>
      </c>
      <c r="T148">
        <v>130.19999999999999</v>
      </c>
      <c r="U148">
        <v>135.6</v>
      </c>
      <c r="V148">
        <v>129.6</v>
      </c>
      <c r="W148">
        <v>126.8</v>
      </c>
      <c r="X148">
        <v>129.4</v>
      </c>
      <c r="Y148">
        <v>127.1</v>
      </c>
      <c r="Z148">
        <v>117</v>
      </c>
      <c r="AA148">
        <v>124.2</v>
      </c>
      <c r="AB148">
        <v>133.30000000000001</v>
      </c>
      <c r="AC148">
        <v>121.7</v>
      </c>
      <c r="AD148">
        <v>124.4</v>
      </c>
      <c r="AE148">
        <v>130.30000000000001</v>
      </c>
      <c r="AF148" t="str">
        <f>IF(AND(CPI_Data[[#This Row],[Date]]&gt;=DATE(2019,3,1),CPI_Data[[#This Row],[Date]]&lt;DATE(2020,3,1)),"Pre-COVID",IF(AND(CPI_Data[[#This Row],[Date]]&gt;=DATE(2020,3,1),CPI_Data[[#This Row],[Date]]&lt;DATE(2021,3,1)),"Post-COVID",""))</f>
        <v/>
      </c>
    </row>
    <row r="149" spans="1:32" hidden="1" x14ac:dyDescent="0.25">
      <c r="A149" t="s">
        <v>30</v>
      </c>
      <c r="B149">
        <v>2017</v>
      </c>
      <c r="C149" s="1" t="s">
        <v>35</v>
      </c>
      <c r="D149" s="2">
        <f>DATE(CPI_Data[[#This Row],[Year]],MATCH(CPI_Data[[#This Row],[Month]],{"January","February","March","April","May","June","July","August","September","October","November","December"},0),1)</f>
        <v>42767</v>
      </c>
      <c r="E149">
        <v>133.30000000000001</v>
      </c>
      <c r="F149">
        <v>138.30000000000001</v>
      </c>
      <c r="G149">
        <v>129.30000000000001</v>
      </c>
      <c r="H149">
        <v>137.19999999999999</v>
      </c>
      <c r="I149">
        <v>122.1</v>
      </c>
      <c r="J149">
        <v>138.69999999999999</v>
      </c>
      <c r="K149">
        <v>119.1</v>
      </c>
      <c r="L149">
        <v>156.9</v>
      </c>
      <c r="M149">
        <v>116.2</v>
      </c>
      <c r="N149">
        <v>136</v>
      </c>
      <c r="O149">
        <v>129.4</v>
      </c>
      <c r="P149">
        <v>144.4</v>
      </c>
      <c r="Q149">
        <v>133.6</v>
      </c>
      <c r="R149">
        <v>143.69999999999999</v>
      </c>
      <c r="S149">
        <v>140.9</v>
      </c>
      <c r="T149">
        <v>135.80000000000001</v>
      </c>
      <c r="U149">
        <v>140.19999999999999</v>
      </c>
      <c r="V149" t="s">
        <v>32</v>
      </c>
      <c r="W149">
        <v>133.19999999999999</v>
      </c>
      <c r="X149">
        <v>133.6</v>
      </c>
      <c r="Y149">
        <v>130.1</v>
      </c>
      <c r="Z149">
        <v>119.5</v>
      </c>
      <c r="AA149">
        <v>127.7</v>
      </c>
      <c r="AB149">
        <v>134.9</v>
      </c>
      <c r="AC149">
        <v>123.2</v>
      </c>
      <c r="AD149">
        <v>127</v>
      </c>
      <c r="AE149">
        <v>132.6</v>
      </c>
      <c r="AF149" t="str">
        <f>IF(AND(CPI_Data[[#This Row],[Date]]&gt;=DATE(2019,3,1),CPI_Data[[#This Row],[Date]]&lt;DATE(2020,3,1)),"Pre-COVID",IF(AND(CPI_Data[[#This Row],[Date]]&gt;=DATE(2020,3,1),CPI_Data[[#This Row],[Date]]&lt;DATE(2021,3,1)),"Post-COVID",""))</f>
        <v/>
      </c>
    </row>
    <row r="150" spans="1:32" hidden="1" x14ac:dyDescent="0.25">
      <c r="A150" t="s">
        <v>33</v>
      </c>
      <c r="B150">
        <v>2017</v>
      </c>
      <c r="C150" s="1" t="s">
        <v>35</v>
      </c>
      <c r="D150" s="2">
        <f>DATE(CPI_Data[[#This Row],[Year]],MATCH(CPI_Data[[#This Row],[Month]],{"January","February","March","April","May","June","July","August","September","October","November","December"},0),1)</f>
        <v>42767</v>
      </c>
      <c r="E150">
        <v>132.80000000000001</v>
      </c>
      <c r="F150">
        <v>139.80000000000001</v>
      </c>
      <c r="G150">
        <v>129.30000000000001</v>
      </c>
      <c r="H150">
        <v>133.5</v>
      </c>
      <c r="I150">
        <v>114.3</v>
      </c>
      <c r="J150">
        <v>131.4</v>
      </c>
      <c r="K150">
        <v>120.2</v>
      </c>
      <c r="L150">
        <v>143.1</v>
      </c>
      <c r="M150">
        <v>119.5</v>
      </c>
      <c r="N150">
        <v>144</v>
      </c>
      <c r="O150">
        <v>123.4</v>
      </c>
      <c r="P150">
        <v>141.9</v>
      </c>
      <c r="Q150">
        <v>132.1</v>
      </c>
      <c r="R150">
        <v>146.30000000000001</v>
      </c>
      <c r="S150">
        <v>130.5</v>
      </c>
      <c r="T150">
        <v>122.5</v>
      </c>
      <c r="U150">
        <v>129.30000000000001</v>
      </c>
      <c r="V150">
        <v>130.5</v>
      </c>
      <c r="W150">
        <v>119.2</v>
      </c>
      <c r="X150">
        <v>125.3</v>
      </c>
      <c r="Y150">
        <v>122.9</v>
      </c>
      <c r="Z150">
        <v>115.5</v>
      </c>
      <c r="AA150">
        <v>122.2</v>
      </c>
      <c r="AB150">
        <v>132.4</v>
      </c>
      <c r="AC150">
        <v>121.7</v>
      </c>
      <c r="AD150">
        <v>122.4</v>
      </c>
      <c r="AE150">
        <v>128.19999999999999</v>
      </c>
      <c r="AF150" t="str">
        <f>IF(AND(CPI_Data[[#This Row],[Date]]&gt;=DATE(2019,3,1),CPI_Data[[#This Row],[Date]]&lt;DATE(2020,3,1)),"Pre-COVID",IF(AND(CPI_Data[[#This Row],[Date]]&gt;=DATE(2020,3,1),CPI_Data[[#This Row],[Date]]&lt;DATE(2021,3,1)),"Post-COVID",""))</f>
        <v/>
      </c>
    </row>
    <row r="151" spans="1:32" hidden="1" x14ac:dyDescent="0.25">
      <c r="A151" t="s">
        <v>34</v>
      </c>
      <c r="B151">
        <v>2017</v>
      </c>
      <c r="C151" s="1" t="s">
        <v>35</v>
      </c>
      <c r="D151" s="2">
        <f>DATE(CPI_Data[[#This Row],[Year]],MATCH(CPI_Data[[#This Row],[Month]],{"January","February","March","April","May","June","July","August","September","October","November","December"},0),1)</f>
        <v>42767</v>
      </c>
      <c r="E151">
        <v>133.1</v>
      </c>
      <c r="F151">
        <v>138.80000000000001</v>
      </c>
      <c r="G151">
        <v>129.30000000000001</v>
      </c>
      <c r="H151">
        <v>135.80000000000001</v>
      </c>
      <c r="I151">
        <v>119.2</v>
      </c>
      <c r="J151">
        <v>135.30000000000001</v>
      </c>
      <c r="K151">
        <v>119.5</v>
      </c>
      <c r="L151">
        <v>152.19999999999999</v>
      </c>
      <c r="M151">
        <v>117.3</v>
      </c>
      <c r="N151">
        <v>138.69999999999999</v>
      </c>
      <c r="O151">
        <v>126.9</v>
      </c>
      <c r="P151">
        <v>143.19999999999999</v>
      </c>
      <c r="Q151">
        <v>133</v>
      </c>
      <c r="R151">
        <v>144.4</v>
      </c>
      <c r="S151">
        <v>136.80000000000001</v>
      </c>
      <c r="T151">
        <v>130.30000000000001</v>
      </c>
      <c r="U151">
        <v>135.9</v>
      </c>
      <c r="V151">
        <v>130.5</v>
      </c>
      <c r="W151">
        <v>127.9</v>
      </c>
      <c r="X151">
        <v>129.69999999999999</v>
      </c>
      <c r="Y151">
        <v>127.4</v>
      </c>
      <c r="Z151">
        <v>117.4</v>
      </c>
      <c r="AA151">
        <v>124.6</v>
      </c>
      <c r="AB151">
        <v>133.4</v>
      </c>
      <c r="AC151">
        <v>122.6</v>
      </c>
      <c r="AD151">
        <v>124.8</v>
      </c>
      <c r="AE151">
        <v>130.6</v>
      </c>
      <c r="AF151" t="str">
        <f>IF(AND(CPI_Data[[#This Row],[Date]]&gt;=DATE(2019,3,1),CPI_Data[[#This Row],[Date]]&lt;DATE(2020,3,1)),"Pre-COVID",IF(AND(CPI_Data[[#This Row],[Date]]&gt;=DATE(2020,3,1),CPI_Data[[#This Row],[Date]]&lt;DATE(2021,3,1)),"Post-COVID",""))</f>
        <v/>
      </c>
    </row>
    <row r="152" spans="1:32" hidden="1" x14ac:dyDescent="0.25">
      <c r="A152" t="s">
        <v>30</v>
      </c>
      <c r="B152">
        <v>2017</v>
      </c>
      <c r="C152" s="1" t="s">
        <v>36</v>
      </c>
      <c r="D152" s="2">
        <f>DATE(CPI_Data[[#This Row],[Year]],MATCH(CPI_Data[[#This Row],[Month]],{"January","February","March","April","May","June","July","August","September","October","November","December"},0),1)</f>
        <v>42795</v>
      </c>
      <c r="E152">
        <v>133.6</v>
      </c>
      <c r="F152">
        <v>138.80000000000001</v>
      </c>
      <c r="G152">
        <v>128.80000000000001</v>
      </c>
      <c r="H152">
        <v>137.19999999999999</v>
      </c>
      <c r="I152">
        <v>121.6</v>
      </c>
      <c r="J152">
        <v>139.69999999999999</v>
      </c>
      <c r="K152">
        <v>119.7</v>
      </c>
      <c r="L152">
        <v>148</v>
      </c>
      <c r="M152">
        <v>116.9</v>
      </c>
      <c r="N152">
        <v>135.6</v>
      </c>
      <c r="O152">
        <v>129.80000000000001</v>
      </c>
      <c r="P152">
        <v>145.4</v>
      </c>
      <c r="Q152">
        <v>133.4</v>
      </c>
      <c r="R152">
        <v>144.19999999999999</v>
      </c>
      <c r="S152">
        <v>141.6</v>
      </c>
      <c r="T152">
        <v>136.19999999999999</v>
      </c>
      <c r="U152">
        <v>140.80000000000001</v>
      </c>
      <c r="V152" t="s">
        <v>32</v>
      </c>
      <c r="W152">
        <v>134.19999999999999</v>
      </c>
      <c r="X152">
        <v>134.1</v>
      </c>
      <c r="Y152">
        <v>130.6</v>
      </c>
      <c r="Z152">
        <v>119.8</v>
      </c>
      <c r="AA152">
        <v>128.30000000000001</v>
      </c>
      <c r="AB152">
        <v>135.19999999999999</v>
      </c>
      <c r="AC152">
        <v>123.3</v>
      </c>
      <c r="AD152">
        <v>127.4</v>
      </c>
      <c r="AE152">
        <v>132.80000000000001</v>
      </c>
      <c r="AF152" t="str">
        <f>IF(AND(CPI_Data[[#This Row],[Date]]&gt;=DATE(2019,3,1),CPI_Data[[#This Row],[Date]]&lt;DATE(2020,3,1)),"Pre-COVID",IF(AND(CPI_Data[[#This Row],[Date]]&gt;=DATE(2020,3,1),CPI_Data[[#This Row],[Date]]&lt;DATE(2021,3,1)),"Post-COVID",""))</f>
        <v/>
      </c>
    </row>
    <row r="153" spans="1:32" hidden="1" x14ac:dyDescent="0.25">
      <c r="A153" t="s">
        <v>33</v>
      </c>
      <c r="B153">
        <v>2017</v>
      </c>
      <c r="C153" s="1" t="s">
        <v>36</v>
      </c>
      <c r="D153" s="2">
        <f>DATE(CPI_Data[[#This Row],[Year]],MATCH(CPI_Data[[#This Row],[Month]],{"January","February","March","April","May","June","July","August","September","October","November","December"},0),1)</f>
        <v>42795</v>
      </c>
      <c r="E153">
        <v>132.69999999999999</v>
      </c>
      <c r="F153">
        <v>139.4</v>
      </c>
      <c r="G153">
        <v>128.4</v>
      </c>
      <c r="H153">
        <v>134.9</v>
      </c>
      <c r="I153">
        <v>114</v>
      </c>
      <c r="J153">
        <v>136.80000000000001</v>
      </c>
      <c r="K153">
        <v>122.2</v>
      </c>
      <c r="L153">
        <v>135.80000000000001</v>
      </c>
      <c r="M153">
        <v>120.3</v>
      </c>
      <c r="N153">
        <v>142.6</v>
      </c>
      <c r="O153">
        <v>123.6</v>
      </c>
      <c r="P153">
        <v>142.4</v>
      </c>
      <c r="Q153">
        <v>132.6</v>
      </c>
      <c r="R153">
        <v>147.5</v>
      </c>
      <c r="S153">
        <v>130.80000000000001</v>
      </c>
      <c r="T153">
        <v>122.8</v>
      </c>
      <c r="U153">
        <v>129.6</v>
      </c>
      <c r="V153">
        <v>131.1</v>
      </c>
      <c r="W153">
        <v>120.8</v>
      </c>
      <c r="X153">
        <v>125.6</v>
      </c>
      <c r="Y153">
        <v>123.1</v>
      </c>
      <c r="Z153">
        <v>115.6</v>
      </c>
      <c r="AA153">
        <v>122.4</v>
      </c>
      <c r="AB153">
        <v>132.80000000000001</v>
      </c>
      <c r="AC153">
        <v>121.7</v>
      </c>
      <c r="AD153">
        <v>122.6</v>
      </c>
      <c r="AE153">
        <v>128.69999999999999</v>
      </c>
      <c r="AF153" t="str">
        <f>IF(AND(CPI_Data[[#This Row],[Date]]&gt;=DATE(2019,3,1),CPI_Data[[#This Row],[Date]]&lt;DATE(2020,3,1)),"Pre-COVID",IF(AND(CPI_Data[[#This Row],[Date]]&gt;=DATE(2020,3,1),CPI_Data[[#This Row],[Date]]&lt;DATE(2021,3,1)),"Post-COVID",""))</f>
        <v/>
      </c>
    </row>
    <row r="154" spans="1:32" hidden="1" x14ac:dyDescent="0.25">
      <c r="A154" t="s">
        <v>34</v>
      </c>
      <c r="B154">
        <v>2017</v>
      </c>
      <c r="C154" s="1" t="s">
        <v>36</v>
      </c>
      <c r="D154" s="2">
        <f>DATE(CPI_Data[[#This Row],[Year]],MATCH(CPI_Data[[#This Row],[Month]],{"January","February","March","April","May","June","July","August","September","October","November","December"},0),1)</f>
        <v>42795</v>
      </c>
      <c r="E154">
        <v>133.30000000000001</v>
      </c>
      <c r="F154">
        <v>139</v>
      </c>
      <c r="G154">
        <v>128.6</v>
      </c>
      <c r="H154">
        <v>136.30000000000001</v>
      </c>
      <c r="I154">
        <v>118.8</v>
      </c>
      <c r="J154">
        <v>138.30000000000001</v>
      </c>
      <c r="K154">
        <v>120.5</v>
      </c>
      <c r="L154">
        <v>143.9</v>
      </c>
      <c r="M154">
        <v>118</v>
      </c>
      <c r="N154">
        <v>137.9</v>
      </c>
      <c r="O154">
        <v>127.2</v>
      </c>
      <c r="P154">
        <v>144</v>
      </c>
      <c r="Q154">
        <v>133.1</v>
      </c>
      <c r="R154">
        <v>145.1</v>
      </c>
      <c r="S154">
        <v>137.30000000000001</v>
      </c>
      <c r="T154">
        <v>130.6</v>
      </c>
      <c r="U154">
        <v>136.4</v>
      </c>
      <c r="V154">
        <v>131.1</v>
      </c>
      <c r="W154">
        <v>129.1</v>
      </c>
      <c r="X154">
        <v>130.1</v>
      </c>
      <c r="Y154">
        <v>127.8</v>
      </c>
      <c r="Z154">
        <v>117.6</v>
      </c>
      <c r="AA154">
        <v>125</v>
      </c>
      <c r="AB154">
        <v>133.80000000000001</v>
      </c>
      <c r="AC154">
        <v>122.6</v>
      </c>
      <c r="AD154">
        <v>125.1</v>
      </c>
      <c r="AE154">
        <v>130.9</v>
      </c>
      <c r="AF154" t="str">
        <f>IF(AND(CPI_Data[[#This Row],[Date]]&gt;=DATE(2019,3,1),CPI_Data[[#This Row],[Date]]&lt;DATE(2020,3,1)),"Pre-COVID",IF(AND(CPI_Data[[#This Row],[Date]]&gt;=DATE(2020,3,1),CPI_Data[[#This Row],[Date]]&lt;DATE(2021,3,1)),"Post-COVID",""))</f>
        <v/>
      </c>
    </row>
    <row r="155" spans="1:32" hidden="1" x14ac:dyDescent="0.25">
      <c r="A155" t="s">
        <v>30</v>
      </c>
      <c r="B155">
        <v>2017</v>
      </c>
      <c r="C155" s="1" t="s">
        <v>37</v>
      </c>
      <c r="D155" s="2">
        <f>DATE(CPI_Data[[#This Row],[Year]],MATCH(CPI_Data[[#This Row],[Month]],{"January","February","March","April","May","June","July","August","September","October","November","December"},0),1)</f>
        <v>42826</v>
      </c>
      <c r="E155">
        <v>133.19999999999999</v>
      </c>
      <c r="F155">
        <v>138.69999999999999</v>
      </c>
      <c r="G155">
        <v>127.1</v>
      </c>
      <c r="H155">
        <v>137.69999999999999</v>
      </c>
      <c r="I155">
        <v>121.3</v>
      </c>
      <c r="J155">
        <v>141.80000000000001</v>
      </c>
      <c r="K155">
        <v>121.5</v>
      </c>
      <c r="L155">
        <v>144.5</v>
      </c>
      <c r="M155">
        <v>117.4</v>
      </c>
      <c r="N155">
        <v>134.1</v>
      </c>
      <c r="O155">
        <v>130</v>
      </c>
      <c r="P155">
        <v>145.5</v>
      </c>
      <c r="Q155">
        <v>133.5</v>
      </c>
      <c r="R155">
        <v>144.4</v>
      </c>
      <c r="S155">
        <v>142.4</v>
      </c>
      <c r="T155">
        <v>136.80000000000001</v>
      </c>
      <c r="U155">
        <v>141.6</v>
      </c>
      <c r="V155" t="s">
        <v>32</v>
      </c>
      <c r="W155">
        <v>135</v>
      </c>
      <c r="X155">
        <v>134.30000000000001</v>
      </c>
      <c r="Y155">
        <v>131</v>
      </c>
      <c r="Z155">
        <v>119.2</v>
      </c>
      <c r="AA155">
        <v>128.30000000000001</v>
      </c>
      <c r="AB155">
        <v>135.69999999999999</v>
      </c>
      <c r="AC155">
        <v>123.7</v>
      </c>
      <c r="AD155">
        <v>127.5</v>
      </c>
      <c r="AE155">
        <v>132.9</v>
      </c>
      <c r="AF155" t="str">
        <f>IF(AND(CPI_Data[[#This Row],[Date]]&gt;=DATE(2019,3,1),CPI_Data[[#This Row],[Date]]&lt;DATE(2020,3,1)),"Pre-COVID",IF(AND(CPI_Data[[#This Row],[Date]]&gt;=DATE(2020,3,1),CPI_Data[[#This Row],[Date]]&lt;DATE(2021,3,1)),"Post-COVID",""))</f>
        <v/>
      </c>
    </row>
    <row r="156" spans="1:32" hidden="1" x14ac:dyDescent="0.25">
      <c r="A156" t="s">
        <v>33</v>
      </c>
      <c r="B156">
        <v>2017</v>
      </c>
      <c r="C156" s="1" t="s">
        <v>37</v>
      </c>
      <c r="D156" s="2">
        <f>DATE(CPI_Data[[#This Row],[Year]],MATCH(CPI_Data[[#This Row],[Month]],{"January","February","March","April","May","June","July","August","September","October","November","December"},0),1)</f>
        <v>42826</v>
      </c>
      <c r="E156">
        <v>132.69999999999999</v>
      </c>
      <c r="F156">
        <v>140.6</v>
      </c>
      <c r="G156">
        <v>124.5</v>
      </c>
      <c r="H156">
        <v>136.30000000000001</v>
      </c>
      <c r="I156">
        <v>113.5</v>
      </c>
      <c r="J156">
        <v>137.69999999999999</v>
      </c>
      <c r="K156">
        <v>127.1</v>
      </c>
      <c r="L156">
        <v>133.80000000000001</v>
      </c>
      <c r="M156">
        <v>120.8</v>
      </c>
      <c r="N156">
        <v>141.30000000000001</v>
      </c>
      <c r="O156">
        <v>123.8</v>
      </c>
      <c r="P156">
        <v>142.6</v>
      </c>
      <c r="Q156">
        <v>133.4</v>
      </c>
      <c r="R156">
        <v>148</v>
      </c>
      <c r="S156">
        <v>131.19999999999999</v>
      </c>
      <c r="T156">
        <v>123</v>
      </c>
      <c r="U156">
        <v>130</v>
      </c>
      <c r="V156">
        <v>131.69999999999999</v>
      </c>
      <c r="W156">
        <v>121.4</v>
      </c>
      <c r="X156">
        <v>126</v>
      </c>
      <c r="Y156">
        <v>123.4</v>
      </c>
      <c r="Z156">
        <v>114.3</v>
      </c>
      <c r="AA156">
        <v>122.6</v>
      </c>
      <c r="AB156">
        <v>133.6</v>
      </c>
      <c r="AC156">
        <v>122.2</v>
      </c>
      <c r="AD156">
        <v>122.5</v>
      </c>
      <c r="AE156">
        <v>129.1</v>
      </c>
      <c r="AF156" t="str">
        <f>IF(AND(CPI_Data[[#This Row],[Date]]&gt;=DATE(2019,3,1),CPI_Data[[#This Row],[Date]]&lt;DATE(2020,3,1)),"Pre-COVID",IF(AND(CPI_Data[[#This Row],[Date]]&gt;=DATE(2020,3,1),CPI_Data[[#This Row],[Date]]&lt;DATE(2021,3,1)),"Post-COVID",""))</f>
        <v/>
      </c>
    </row>
    <row r="157" spans="1:32" hidden="1" x14ac:dyDescent="0.25">
      <c r="A157" t="s">
        <v>34</v>
      </c>
      <c r="B157">
        <v>2017</v>
      </c>
      <c r="C157" s="1" t="s">
        <v>37</v>
      </c>
      <c r="D157" s="2">
        <f>DATE(CPI_Data[[#This Row],[Year]],MATCH(CPI_Data[[#This Row],[Month]],{"January","February","March","April","May","June","July","August","September","October","November","December"},0),1)</f>
        <v>42826</v>
      </c>
      <c r="E157">
        <v>133</v>
      </c>
      <c r="F157">
        <v>139.4</v>
      </c>
      <c r="G157">
        <v>126.1</v>
      </c>
      <c r="H157">
        <v>137.19999999999999</v>
      </c>
      <c r="I157">
        <v>118.4</v>
      </c>
      <c r="J157">
        <v>139.9</v>
      </c>
      <c r="K157">
        <v>123.4</v>
      </c>
      <c r="L157">
        <v>140.9</v>
      </c>
      <c r="M157">
        <v>118.5</v>
      </c>
      <c r="N157">
        <v>136.5</v>
      </c>
      <c r="O157">
        <v>127.4</v>
      </c>
      <c r="P157">
        <v>144.19999999999999</v>
      </c>
      <c r="Q157">
        <v>133.5</v>
      </c>
      <c r="R157">
        <v>145.4</v>
      </c>
      <c r="S157">
        <v>138</v>
      </c>
      <c r="T157">
        <v>131.1</v>
      </c>
      <c r="U157">
        <v>137</v>
      </c>
      <c r="V157">
        <v>131.69999999999999</v>
      </c>
      <c r="W157">
        <v>129.80000000000001</v>
      </c>
      <c r="X157">
        <v>130.4</v>
      </c>
      <c r="Y157">
        <v>128.1</v>
      </c>
      <c r="Z157">
        <v>116.6</v>
      </c>
      <c r="AA157">
        <v>125.1</v>
      </c>
      <c r="AB157">
        <v>134.5</v>
      </c>
      <c r="AC157">
        <v>123.1</v>
      </c>
      <c r="AD157">
        <v>125.1</v>
      </c>
      <c r="AE157">
        <v>131.1</v>
      </c>
      <c r="AF157" t="str">
        <f>IF(AND(CPI_Data[[#This Row],[Date]]&gt;=DATE(2019,3,1),CPI_Data[[#This Row],[Date]]&lt;DATE(2020,3,1)),"Pre-COVID",IF(AND(CPI_Data[[#This Row],[Date]]&gt;=DATE(2020,3,1),CPI_Data[[#This Row],[Date]]&lt;DATE(2021,3,1)),"Post-COVID",""))</f>
        <v/>
      </c>
    </row>
    <row r="158" spans="1:32" hidden="1" x14ac:dyDescent="0.25">
      <c r="A158" t="s">
        <v>30</v>
      </c>
      <c r="B158">
        <v>2017</v>
      </c>
      <c r="C158" s="1" t="s">
        <v>38</v>
      </c>
      <c r="D158" s="2">
        <f>DATE(CPI_Data[[#This Row],[Year]],MATCH(CPI_Data[[#This Row],[Month]],{"January","February","March","April","May","June","July","August","September","October","November","December"},0),1)</f>
        <v>42856</v>
      </c>
      <c r="E158">
        <v>133.1</v>
      </c>
      <c r="F158">
        <v>140.30000000000001</v>
      </c>
      <c r="G158">
        <v>126.8</v>
      </c>
      <c r="H158">
        <v>138.19999999999999</v>
      </c>
      <c r="I158">
        <v>120.8</v>
      </c>
      <c r="J158">
        <v>140.19999999999999</v>
      </c>
      <c r="K158">
        <v>123.8</v>
      </c>
      <c r="L158">
        <v>141.80000000000001</v>
      </c>
      <c r="M158">
        <v>118.6</v>
      </c>
      <c r="N158">
        <v>134</v>
      </c>
      <c r="O158">
        <v>130.30000000000001</v>
      </c>
      <c r="P158">
        <v>145.80000000000001</v>
      </c>
      <c r="Q158">
        <v>133.80000000000001</v>
      </c>
      <c r="R158">
        <v>145.5</v>
      </c>
      <c r="S158">
        <v>142.5</v>
      </c>
      <c r="T158">
        <v>137.30000000000001</v>
      </c>
      <c r="U158">
        <v>141.80000000000001</v>
      </c>
      <c r="V158" t="s">
        <v>32</v>
      </c>
      <c r="W158">
        <v>135</v>
      </c>
      <c r="X158">
        <v>134.9</v>
      </c>
      <c r="Y158">
        <v>131.4</v>
      </c>
      <c r="Z158">
        <v>119.4</v>
      </c>
      <c r="AA158">
        <v>129.4</v>
      </c>
      <c r="AB158">
        <v>136.30000000000001</v>
      </c>
      <c r="AC158">
        <v>123.7</v>
      </c>
      <c r="AD158">
        <v>127.9</v>
      </c>
      <c r="AE158">
        <v>133.30000000000001</v>
      </c>
      <c r="AF158" t="str">
        <f>IF(AND(CPI_Data[[#This Row],[Date]]&gt;=DATE(2019,3,1),CPI_Data[[#This Row],[Date]]&lt;DATE(2020,3,1)),"Pre-COVID",IF(AND(CPI_Data[[#This Row],[Date]]&gt;=DATE(2020,3,1),CPI_Data[[#This Row],[Date]]&lt;DATE(2021,3,1)),"Post-COVID",""))</f>
        <v/>
      </c>
    </row>
    <row r="159" spans="1:32" hidden="1" x14ac:dyDescent="0.25">
      <c r="A159" t="s">
        <v>33</v>
      </c>
      <c r="B159">
        <v>2017</v>
      </c>
      <c r="C159" s="1" t="s">
        <v>38</v>
      </c>
      <c r="D159" s="2">
        <f>DATE(CPI_Data[[#This Row],[Year]],MATCH(CPI_Data[[#This Row],[Month]],{"January","February","March","April","May","June","July","August","September","October","November","December"},0),1)</f>
        <v>42856</v>
      </c>
      <c r="E159">
        <v>132.6</v>
      </c>
      <c r="F159">
        <v>144.1</v>
      </c>
      <c r="G159">
        <v>125.6</v>
      </c>
      <c r="H159">
        <v>136.80000000000001</v>
      </c>
      <c r="I159">
        <v>113.4</v>
      </c>
      <c r="J159">
        <v>135.19999999999999</v>
      </c>
      <c r="K159">
        <v>129.19999999999999</v>
      </c>
      <c r="L159">
        <v>131.5</v>
      </c>
      <c r="M159">
        <v>121</v>
      </c>
      <c r="N159">
        <v>139.9</v>
      </c>
      <c r="O159">
        <v>123.8</v>
      </c>
      <c r="P159">
        <v>142.9</v>
      </c>
      <c r="Q159">
        <v>133.6</v>
      </c>
      <c r="R159">
        <v>148.30000000000001</v>
      </c>
      <c r="S159">
        <v>131.5</v>
      </c>
      <c r="T159">
        <v>123.2</v>
      </c>
      <c r="U159">
        <v>130.19999999999999</v>
      </c>
      <c r="V159">
        <v>132.1</v>
      </c>
      <c r="W159">
        <v>120.1</v>
      </c>
      <c r="X159">
        <v>126.5</v>
      </c>
      <c r="Y159">
        <v>123.6</v>
      </c>
      <c r="Z159">
        <v>114.3</v>
      </c>
      <c r="AA159">
        <v>122.8</v>
      </c>
      <c r="AB159">
        <v>133.80000000000001</v>
      </c>
      <c r="AC159">
        <v>122</v>
      </c>
      <c r="AD159">
        <v>122.6</v>
      </c>
      <c r="AE159">
        <v>129.30000000000001</v>
      </c>
      <c r="AF159" t="str">
        <f>IF(AND(CPI_Data[[#This Row],[Date]]&gt;=DATE(2019,3,1),CPI_Data[[#This Row],[Date]]&lt;DATE(2020,3,1)),"Pre-COVID",IF(AND(CPI_Data[[#This Row],[Date]]&gt;=DATE(2020,3,1),CPI_Data[[#This Row],[Date]]&lt;DATE(2021,3,1)),"Post-COVID",""))</f>
        <v/>
      </c>
    </row>
    <row r="160" spans="1:32" hidden="1" x14ac:dyDescent="0.25">
      <c r="A160" t="s">
        <v>34</v>
      </c>
      <c r="B160">
        <v>2017</v>
      </c>
      <c r="C160" s="1" t="s">
        <v>38</v>
      </c>
      <c r="D160" s="2">
        <f>DATE(CPI_Data[[#This Row],[Year]],MATCH(CPI_Data[[#This Row],[Month]],{"January","February","March","April","May","June","July","August","September","October","November","December"},0),1)</f>
        <v>42856</v>
      </c>
      <c r="E160">
        <v>132.9</v>
      </c>
      <c r="F160">
        <v>141.6</v>
      </c>
      <c r="G160">
        <v>126.3</v>
      </c>
      <c r="H160">
        <v>137.69999999999999</v>
      </c>
      <c r="I160">
        <v>118.1</v>
      </c>
      <c r="J160">
        <v>137.9</v>
      </c>
      <c r="K160">
        <v>125.6</v>
      </c>
      <c r="L160">
        <v>138.30000000000001</v>
      </c>
      <c r="M160">
        <v>119.4</v>
      </c>
      <c r="N160">
        <v>136</v>
      </c>
      <c r="O160">
        <v>127.6</v>
      </c>
      <c r="P160">
        <v>144.5</v>
      </c>
      <c r="Q160">
        <v>133.69999999999999</v>
      </c>
      <c r="R160">
        <v>146.19999999999999</v>
      </c>
      <c r="S160">
        <v>138.19999999999999</v>
      </c>
      <c r="T160">
        <v>131.4</v>
      </c>
      <c r="U160">
        <v>137.19999999999999</v>
      </c>
      <c r="V160">
        <v>132.1</v>
      </c>
      <c r="W160">
        <v>129.4</v>
      </c>
      <c r="X160">
        <v>130.9</v>
      </c>
      <c r="Y160">
        <v>128.4</v>
      </c>
      <c r="Z160">
        <v>116.7</v>
      </c>
      <c r="AA160">
        <v>125.7</v>
      </c>
      <c r="AB160">
        <v>134.80000000000001</v>
      </c>
      <c r="AC160">
        <v>123</v>
      </c>
      <c r="AD160">
        <v>125.3</v>
      </c>
      <c r="AE160">
        <v>131.4</v>
      </c>
      <c r="AF160" t="str">
        <f>IF(AND(CPI_Data[[#This Row],[Date]]&gt;=DATE(2019,3,1),CPI_Data[[#This Row],[Date]]&lt;DATE(2020,3,1)),"Pre-COVID",IF(AND(CPI_Data[[#This Row],[Date]]&gt;=DATE(2020,3,1),CPI_Data[[#This Row],[Date]]&lt;DATE(2021,3,1)),"Post-COVID",""))</f>
        <v/>
      </c>
    </row>
    <row r="161" spans="1:32" hidden="1" x14ac:dyDescent="0.25">
      <c r="A161" t="s">
        <v>30</v>
      </c>
      <c r="B161">
        <v>2017</v>
      </c>
      <c r="C161" s="1" t="s">
        <v>39</v>
      </c>
      <c r="D161" s="2">
        <f>DATE(CPI_Data[[#This Row],[Year]],MATCH(CPI_Data[[#This Row],[Month]],{"January","February","March","April","May","June","July","August","September","October","November","December"},0),1)</f>
        <v>42887</v>
      </c>
      <c r="E161">
        <v>133.5</v>
      </c>
      <c r="F161">
        <v>143.69999999999999</v>
      </c>
      <c r="G161">
        <v>128</v>
      </c>
      <c r="H161">
        <v>138.6</v>
      </c>
      <c r="I161">
        <v>120.9</v>
      </c>
      <c r="J161">
        <v>140.9</v>
      </c>
      <c r="K161">
        <v>128.80000000000001</v>
      </c>
      <c r="L161">
        <v>140.19999999999999</v>
      </c>
      <c r="M161">
        <v>118.9</v>
      </c>
      <c r="N161">
        <v>133.5</v>
      </c>
      <c r="O161">
        <v>130.4</v>
      </c>
      <c r="P161">
        <v>146.5</v>
      </c>
      <c r="Q161">
        <v>134.9</v>
      </c>
      <c r="R161">
        <v>145.80000000000001</v>
      </c>
      <c r="S161">
        <v>143.1</v>
      </c>
      <c r="T161">
        <v>137.69999999999999</v>
      </c>
      <c r="U161">
        <v>142.30000000000001</v>
      </c>
      <c r="V161" t="s">
        <v>32</v>
      </c>
      <c r="W161">
        <v>134.80000000000001</v>
      </c>
      <c r="X161">
        <v>135.19999999999999</v>
      </c>
      <c r="Y161">
        <v>131.30000000000001</v>
      </c>
      <c r="Z161">
        <v>119.4</v>
      </c>
      <c r="AA161">
        <v>129.80000000000001</v>
      </c>
      <c r="AB161">
        <v>136.9</v>
      </c>
      <c r="AC161">
        <v>124.1</v>
      </c>
      <c r="AD161">
        <v>128.1</v>
      </c>
      <c r="AE161">
        <v>133.9</v>
      </c>
      <c r="AF161" t="str">
        <f>IF(AND(CPI_Data[[#This Row],[Date]]&gt;=DATE(2019,3,1),CPI_Data[[#This Row],[Date]]&lt;DATE(2020,3,1)),"Pre-COVID",IF(AND(CPI_Data[[#This Row],[Date]]&gt;=DATE(2020,3,1),CPI_Data[[#This Row],[Date]]&lt;DATE(2021,3,1)),"Post-COVID",""))</f>
        <v/>
      </c>
    </row>
    <row r="162" spans="1:32" hidden="1" x14ac:dyDescent="0.25">
      <c r="A162" t="s">
        <v>33</v>
      </c>
      <c r="B162">
        <v>2017</v>
      </c>
      <c r="C162" s="1" t="s">
        <v>39</v>
      </c>
      <c r="D162" s="2">
        <f>DATE(CPI_Data[[#This Row],[Year]],MATCH(CPI_Data[[#This Row],[Month]],{"January","February","March","April","May","June","July","August","September","October","November","December"},0),1)</f>
        <v>42887</v>
      </c>
      <c r="E162">
        <v>132.9</v>
      </c>
      <c r="F162">
        <v>148.69999999999999</v>
      </c>
      <c r="G162">
        <v>128.30000000000001</v>
      </c>
      <c r="H162">
        <v>137.30000000000001</v>
      </c>
      <c r="I162">
        <v>113.5</v>
      </c>
      <c r="J162">
        <v>137.19999999999999</v>
      </c>
      <c r="K162">
        <v>142.19999999999999</v>
      </c>
      <c r="L162">
        <v>128.19999999999999</v>
      </c>
      <c r="M162">
        <v>120.9</v>
      </c>
      <c r="N162">
        <v>138.80000000000001</v>
      </c>
      <c r="O162">
        <v>124.2</v>
      </c>
      <c r="P162">
        <v>143.1</v>
      </c>
      <c r="Q162">
        <v>135.69999999999999</v>
      </c>
      <c r="R162">
        <v>148.6</v>
      </c>
      <c r="S162">
        <v>131.5</v>
      </c>
      <c r="T162">
        <v>123.2</v>
      </c>
      <c r="U162">
        <v>130.19999999999999</v>
      </c>
      <c r="V162">
        <v>131.4</v>
      </c>
      <c r="W162">
        <v>119</v>
      </c>
      <c r="X162">
        <v>126.8</v>
      </c>
      <c r="Y162">
        <v>123.8</v>
      </c>
      <c r="Z162">
        <v>113.9</v>
      </c>
      <c r="AA162">
        <v>122.9</v>
      </c>
      <c r="AB162">
        <v>134.30000000000001</v>
      </c>
      <c r="AC162">
        <v>122.5</v>
      </c>
      <c r="AD162">
        <v>122.7</v>
      </c>
      <c r="AE162">
        <v>129.9</v>
      </c>
      <c r="AF162" t="str">
        <f>IF(AND(CPI_Data[[#This Row],[Date]]&gt;=DATE(2019,3,1),CPI_Data[[#This Row],[Date]]&lt;DATE(2020,3,1)),"Pre-COVID",IF(AND(CPI_Data[[#This Row],[Date]]&gt;=DATE(2020,3,1),CPI_Data[[#This Row],[Date]]&lt;DATE(2021,3,1)),"Post-COVID",""))</f>
        <v/>
      </c>
    </row>
    <row r="163" spans="1:32" hidden="1" x14ac:dyDescent="0.25">
      <c r="A163" t="s">
        <v>34</v>
      </c>
      <c r="B163">
        <v>2017</v>
      </c>
      <c r="C163" s="1" t="s">
        <v>39</v>
      </c>
      <c r="D163" s="2">
        <f>DATE(CPI_Data[[#This Row],[Year]],MATCH(CPI_Data[[#This Row],[Month]],{"January","February","March","April","May","June","July","August","September","October","November","December"},0),1)</f>
        <v>42887</v>
      </c>
      <c r="E163">
        <v>133.30000000000001</v>
      </c>
      <c r="F163">
        <v>145.5</v>
      </c>
      <c r="G163">
        <v>128.1</v>
      </c>
      <c r="H163">
        <v>138.1</v>
      </c>
      <c r="I163">
        <v>118.2</v>
      </c>
      <c r="J163">
        <v>139.19999999999999</v>
      </c>
      <c r="K163">
        <v>133.30000000000001</v>
      </c>
      <c r="L163">
        <v>136.19999999999999</v>
      </c>
      <c r="M163">
        <v>119.6</v>
      </c>
      <c r="N163">
        <v>135.30000000000001</v>
      </c>
      <c r="O163">
        <v>127.8</v>
      </c>
      <c r="P163">
        <v>144.9</v>
      </c>
      <c r="Q163">
        <v>135.19999999999999</v>
      </c>
      <c r="R163">
        <v>146.5</v>
      </c>
      <c r="S163">
        <v>138.5</v>
      </c>
      <c r="T163">
        <v>131.69999999999999</v>
      </c>
      <c r="U163">
        <v>137.5</v>
      </c>
      <c r="V163">
        <v>131.4</v>
      </c>
      <c r="W163">
        <v>128.80000000000001</v>
      </c>
      <c r="X163">
        <v>131.19999999999999</v>
      </c>
      <c r="Y163">
        <v>128.5</v>
      </c>
      <c r="Z163">
        <v>116.5</v>
      </c>
      <c r="AA163">
        <v>125.9</v>
      </c>
      <c r="AB163">
        <v>135.4</v>
      </c>
      <c r="AC163">
        <v>123.4</v>
      </c>
      <c r="AD163">
        <v>125.5</v>
      </c>
      <c r="AE163">
        <v>132</v>
      </c>
      <c r="AF163" t="str">
        <f>IF(AND(CPI_Data[[#This Row],[Date]]&gt;=DATE(2019,3,1),CPI_Data[[#This Row],[Date]]&lt;DATE(2020,3,1)),"Pre-COVID",IF(AND(CPI_Data[[#This Row],[Date]]&gt;=DATE(2020,3,1),CPI_Data[[#This Row],[Date]]&lt;DATE(2021,3,1)),"Post-COVID",""))</f>
        <v/>
      </c>
    </row>
    <row r="164" spans="1:32" hidden="1" x14ac:dyDescent="0.25">
      <c r="A164" t="s">
        <v>30</v>
      </c>
      <c r="B164">
        <v>2017</v>
      </c>
      <c r="C164" s="1" t="s">
        <v>40</v>
      </c>
      <c r="D164" s="2">
        <f>DATE(CPI_Data[[#This Row],[Year]],MATCH(CPI_Data[[#This Row],[Month]],{"January","February","March","April","May","June","July","August","September","October","November","December"},0),1)</f>
        <v>42917</v>
      </c>
      <c r="E164">
        <v>134</v>
      </c>
      <c r="F164">
        <v>144.19999999999999</v>
      </c>
      <c r="G164">
        <v>129.80000000000001</v>
      </c>
      <c r="H164">
        <v>139</v>
      </c>
      <c r="I164">
        <v>120.9</v>
      </c>
      <c r="J164">
        <v>143.9</v>
      </c>
      <c r="K164">
        <v>151.5</v>
      </c>
      <c r="L164">
        <v>138.1</v>
      </c>
      <c r="M164">
        <v>120</v>
      </c>
      <c r="N164">
        <v>133.9</v>
      </c>
      <c r="O164">
        <v>131.4</v>
      </c>
      <c r="P164">
        <v>147.69999999999999</v>
      </c>
      <c r="Q164">
        <v>138.5</v>
      </c>
      <c r="R164">
        <v>147.4</v>
      </c>
      <c r="S164">
        <v>144.30000000000001</v>
      </c>
      <c r="T164">
        <v>138.1</v>
      </c>
      <c r="U164">
        <v>143.5</v>
      </c>
      <c r="V164" t="s">
        <v>32</v>
      </c>
      <c r="W164">
        <v>135.30000000000001</v>
      </c>
      <c r="X164">
        <v>136.1</v>
      </c>
      <c r="Y164">
        <v>132.1</v>
      </c>
      <c r="Z164">
        <v>119.1</v>
      </c>
      <c r="AA164">
        <v>130.6</v>
      </c>
      <c r="AB164">
        <v>138.6</v>
      </c>
      <c r="AC164">
        <v>124.4</v>
      </c>
      <c r="AD164">
        <v>128.6</v>
      </c>
      <c r="AE164">
        <v>136.19999999999999</v>
      </c>
      <c r="AF164" t="str">
        <f>IF(AND(CPI_Data[[#This Row],[Date]]&gt;=DATE(2019,3,1),CPI_Data[[#This Row],[Date]]&lt;DATE(2020,3,1)),"Pre-COVID",IF(AND(CPI_Data[[#This Row],[Date]]&gt;=DATE(2020,3,1),CPI_Data[[#This Row],[Date]]&lt;DATE(2021,3,1)),"Post-COVID",""))</f>
        <v/>
      </c>
    </row>
    <row r="165" spans="1:32" hidden="1" x14ac:dyDescent="0.25">
      <c r="A165" t="s">
        <v>33</v>
      </c>
      <c r="B165">
        <v>2017</v>
      </c>
      <c r="C165" s="1" t="s">
        <v>40</v>
      </c>
      <c r="D165" s="2">
        <f>DATE(CPI_Data[[#This Row],[Year]],MATCH(CPI_Data[[#This Row],[Month]],{"January","February","March","April","May","June","July","August","September","October","November","December"},0),1)</f>
        <v>42917</v>
      </c>
      <c r="E165">
        <v>132.80000000000001</v>
      </c>
      <c r="F165">
        <v>148.4</v>
      </c>
      <c r="G165">
        <v>129.4</v>
      </c>
      <c r="H165">
        <v>137.69999999999999</v>
      </c>
      <c r="I165">
        <v>113.4</v>
      </c>
      <c r="J165">
        <v>139.4</v>
      </c>
      <c r="K165">
        <v>175.1</v>
      </c>
      <c r="L165">
        <v>124.7</v>
      </c>
      <c r="M165">
        <v>121.5</v>
      </c>
      <c r="N165">
        <v>137.80000000000001</v>
      </c>
      <c r="O165">
        <v>124.4</v>
      </c>
      <c r="P165">
        <v>143.69999999999999</v>
      </c>
      <c r="Q165">
        <v>139.80000000000001</v>
      </c>
      <c r="R165">
        <v>150.5</v>
      </c>
      <c r="S165">
        <v>131.6</v>
      </c>
      <c r="T165">
        <v>123.7</v>
      </c>
      <c r="U165">
        <v>130.4</v>
      </c>
      <c r="V165">
        <v>132.6</v>
      </c>
      <c r="W165">
        <v>119.7</v>
      </c>
      <c r="X165">
        <v>127.2</v>
      </c>
      <c r="Y165">
        <v>125</v>
      </c>
      <c r="Z165">
        <v>113.2</v>
      </c>
      <c r="AA165">
        <v>123.5</v>
      </c>
      <c r="AB165">
        <v>135.5</v>
      </c>
      <c r="AC165">
        <v>122.4</v>
      </c>
      <c r="AD165">
        <v>123</v>
      </c>
      <c r="AE165">
        <v>131.80000000000001</v>
      </c>
      <c r="AF165" t="str">
        <f>IF(AND(CPI_Data[[#This Row],[Date]]&gt;=DATE(2019,3,1),CPI_Data[[#This Row],[Date]]&lt;DATE(2020,3,1)),"Pre-COVID",IF(AND(CPI_Data[[#This Row],[Date]]&gt;=DATE(2020,3,1),CPI_Data[[#This Row],[Date]]&lt;DATE(2021,3,1)),"Post-COVID",""))</f>
        <v/>
      </c>
    </row>
    <row r="166" spans="1:32" hidden="1" x14ac:dyDescent="0.25">
      <c r="A166" t="s">
        <v>34</v>
      </c>
      <c r="B166">
        <v>2017</v>
      </c>
      <c r="C166" s="1" t="s">
        <v>40</v>
      </c>
      <c r="D166" s="2">
        <f>DATE(CPI_Data[[#This Row],[Year]],MATCH(CPI_Data[[#This Row],[Month]],{"January","February","March","April","May","June","July","August","September","October","November","December"},0),1)</f>
        <v>42917</v>
      </c>
      <c r="E166">
        <v>133.6</v>
      </c>
      <c r="F166">
        <v>145.69999999999999</v>
      </c>
      <c r="G166">
        <v>129.6</v>
      </c>
      <c r="H166">
        <v>138.5</v>
      </c>
      <c r="I166">
        <v>118.1</v>
      </c>
      <c r="J166">
        <v>141.80000000000001</v>
      </c>
      <c r="K166">
        <v>159.5</v>
      </c>
      <c r="L166">
        <v>133.6</v>
      </c>
      <c r="M166">
        <v>120.5</v>
      </c>
      <c r="N166">
        <v>135.19999999999999</v>
      </c>
      <c r="O166">
        <v>128.5</v>
      </c>
      <c r="P166">
        <v>145.80000000000001</v>
      </c>
      <c r="Q166">
        <v>139</v>
      </c>
      <c r="R166">
        <v>148.19999999999999</v>
      </c>
      <c r="S166">
        <v>139.30000000000001</v>
      </c>
      <c r="T166">
        <v>132.1</v>
      </c>
      <c r="U166">
        <v>138.30000000000001</v>
      </c>
      <c r="V166">
        <v>132.6</v>
      </c>
      <c r="W166">
        <v>129.4</v>
      </c>
      <c r="X166">
        <v>131.9</v>
      </c>
      <c r="Y166">
        <v>129.4</v>
      </c>
      <c r="Z166">
        <v>116</v>
      </c>
      <c r="AA166">
        <v>126.6</v>
      </c>
      <c r="AB166">
        <v>136.80000000000001</v>
      </c>
      <c r="AC166">
        <v>123.6</v>
      </c>
      <c r="AD166">
        <v>125.9</v>
      </c>
      <c r="AE166">
        <v>134.19999999999999</v>
      </c>
      <c r="AF166" t="str">
        <f>IF(AND(CPI_Data[[#This Row],[Date]]&gt;=DATE(2019,3,1),CPI_Data[[#This Row],[Date]]&lt;DATE(2020,3,1)),"Pre-COVID",IF(AND(CPI_Data[[#This Row],[Date]]&gt;=DATE(2020,3,1),CPI_Data[[#This Row],[Date]]&lt;DATE(2021,3,1)),"Post-COVID",""))</f>
        <v/>
      </c>
    </row>
    <row r="167" spans="1:32" hidden="1" x14ac:dyDescent="0.25">
      <c r="A167" t="s">
        <v>30</v>
      </c>
      <c r="B167">
        <v>2017</v>
      </c>
      <c r="C167" s="1" t="s">
        <v>41</v>
      </c>
      <c r="D167" s="2">
        <f>DATE(CPI_Data[[#This Row],[Year]],MATCH(CPI_Data[[#This Row],[Month]],{"January","February","March","April","May","June","July","August","September","October","November","December"},0),1)</f>
        <v>42948</v>
      </c>
      <c r="E167">
        <v>134.80000000000001</v>
      </c>
      <c r="F167">
        <v>143.1</v>
      </c>
      <c r="G167">
        <v>130</v>
      </c>
      <c r="H167">
        <v>139.4</v>
      </c>
      <c r="I167">
        <v>120.5</v>
      </c>
      <c r="J167">
        <v>148</v>
      </c>
      <c r="K167">
        <v>162.9</v>
      </c>
      <c r="L167">
        <v>137.4</v>
      </c>
      <c r="M167">
        <v>120.8</v>
      </c>
      <c r="N167">
        <v>134.69999999999999</v>
      </c>
      <c r="O167">
        <v>131.6</v>
      </c>
      <c r="P167">
        <v>148.69999999999999</v>
      </c>
      <c r="Q167">
        <v>140.6</v>
      </c>
      <c r="R167">
        <v>149</v>
      </c>
      <c r="S167">
        <v>145.30000000000001</v>
      </c>
      <c r="T167">
        <v>139.19999999999999</v>
      </c>
      <c r="U167">
        <v>144.5</v>
      </c>
      <c r="V167" t="s">
        <v>32</v>
      </c>
      <c r="W167">
        <v>136.4</v>
      </c>
      <c r="X167">
        <v>137.30000000000001</v>
      </c>
      <c r="Y167">
        <v>133</v>
      </c>
      <c r="Z167">
        <v>120.3</v>
      </c>
      <c r="AA167">
        <v>131.5</v>
      </c>
      <c r="AB167">
        <v>140.19999999999999</v>
      </c>
      <c r="AC167">
        <v>125.4</v>
      </c>
      <c r="AD167">
        <v>129.69999999999999</v>
      </c>
      <c r="AE167">
        <v>137.80000000000001</v>
      </c>
      <c r="AF167" t="str">
        <f>IF(AND(CPI_Data[[#This Row],[Date]]&gt;=DATE(2019,3,1),CPI_Data[[#This Row],[Date]]&lt;DATE(2020,3,1)),"Pre-COVID",IF(AND(CPI_Data[[#This Row],[Date]]&gt;=DATE(2020,3,1),CPI_Data[[#This Row],[Date]]&lt;DATE(2021,3,1)),"Post-COVID",""))</f>
        <v/>
      </c>
    </row>
    <row r="168" spans="1:32" hidden="1" x14ac:dyDescent="0.25">
      <c r="A168" t="s">
        <v>33</v>
      </c>
      <c r="B168">
        <v>2017</v>
      </c>
      <c r="C168" s="1" t="s">
        <v>41</v>
      </c>
      <c r="D168" s="2">
        <f>DATE(CPI_Data[[#This Row],[Year]],MATCH(CPI_Data[[#This Row],[Month]],{"January","February","March","April","May","June","July","August","September","October","November","December"},0),1)</f>
        <v>42948</v>
      </c>
      <c r="E168">
        <v>133.19999999999999</v>
      </c>
      <c r="F168">
        <v>143.9</v>
      </c>
      <c r="G168">
        <v>128.30000000000001</v>
      </c>
      <c r="H168">
        <v>138.30000000000001</v>
      </c>
      <c r="I168">
        <v>114.1</v>
      </c>
      <c r="J168">
        <v>142.69999999999999</v>
      </c>
      <c r="K168">
        <v>179.8</v>
      </c>
      <c r="L168">
        <v>123.5</v>
      </c>
      <c r="M168">
        <v>122.1</v>
      </c>
      <c r="N168">
        <v>137.5</v>
      </c>
      <c r="O168">
        <v>124.6</v>
      </c>
      <c r="P168">
        <v>144.5</v>
      </c>
      <c r="Q168">
        <v>140.5</v>
      </c>
      <c r="R168">
        <v>152.1</v>
      </c>
      <c r="S168">
        <v>132.69999999999999</v>
      </c>
      <c r="T168">
        <v>124.3</v>
      </c>
      <c r="U168">
        <v>131.4</v>
      </c>
      <c r="V168">
        <v>134.4</v>
      </c>
      <c r="W168">
        <v>118.9</v>
      </c>
      <c r="X168">
        <v>127.7</v>
      </c>
      <c r="Y168">
        <v>125.7</v>
      </c>
      <c r="Z168">
        <v>114.6</v>
      </c>
      <c r="AA168">
        <v>124.1</v>
      </c>
      <c r="AB168">
        <v>135.69999999999999</v>
      </c>
      <c r="AC168">
        <v>123.3</v>
      </c>
      <c r="AD168">
        <v>123.8</v>
      </c>
      <c r="AE168">
        <v>132.69999999999999</v>
      </c>
      <c r="AF168" t="str">
        <f>IF(AND(CPI_Data[[#This Row],[Date]]&gt;=DATE(2019,3,1),CPI_Data[[#This Row],[Date]]&lt;DATE(2020,3,1)),"Pre-COVID",IF(AND(CPI_Data[[#This Row],[Date]]&gt;=DATE(2020,3,1),CPI_Data[[#This Row],[Date]]&lt;DATE(2021,3,1)),"Post-COVID",""))</f>
        <v/>
      </c>
    </row>
    <row r="169" spans="1:32" hidden="1" x14ac:dyDescent="0.25">
      <c r="A169" t="s">
        <v>34</v>
      </c>
      <c r="B169">
        <v>2017</v>
      </c>
      <c r="C169" s="1" t="s">
        <v>41</v>
      </c>
      <c r="D169" s="2">
        <f>DATE(CPI_Data[[#This Row],[Year]],MATCH(CPI_Data[[#This Row],[Month]],{"January","February","March","April","May","June","July","August","September","October","November","December"},0),1)</f>
        <v>42948</v>
      </c>
      <c r="E169">
        <v>134.30000000000001</v>
      </c>
      <c r="F169">
        <v>143.4</v>
      </c>
      <c r="G169">
        <v>129.30000000000001</v>
      </c>
      <c r="H169">
        <v>139</v>
      </c>
      <c r="I169">
        <v>118.1</v>
      </c>
      <c r="J169">
        <v>145.5</v>
      </c>
      <c r="K169">
        <v>168.6</v>
      </c>
      <c r="L169">
        <v>132.69999999999999</v>
      </c>
      <c r="M169">
        <v>121.2</v>
      </c>
      <c r="N169">
        <v>135.6</v>
      </c>
      <c r="O169">
        <v>128.69999999999999</v>
      </c>
      <c r="P169">
        <v>146.80000000000001</v>
      </c>
      <c r="Q169">
        <v>140.6</v>
      </c>
      <c r="R169">
        <v>149.80000000000001</v>
      </c>
      <c r="S169">
        <v>140.30000000000001</v>
      </c>
      <c r="T169">
        <v>133</v>
      </c>
      <c r="U169">
        <v>139.30000000000001</v>
      </c>
      <c r="V169">
        <v>134.4</v>
      </c>
      <c r="W169">
        <v>129.80000000000001</v>
      </c>
      <c r="X169">
        <v>132.80000000000001</v>
      </c>
      <c r="Y169">
        <v>130.19999999999999</v>
      </c>
      <c r="Z169">
        <v>117.3</v>
      </c>
      <c r="AA169">
        <v>127.3</v>
      </c>
      <c r="AB169">
        <v>137.6</v>
      </c>
      <c r="AC169">
        <v>124.5</v>
      </c>
      <c r="AD169">
        <v>126.8</v>
      </c>
      <c r="AE169">
        <v>135.4</v>
      </c>
      <c r="AF169" t="str">
        <f>IF(AND(CPI_Data[[#This Row],[Date]]&gt;=DATE(2019,3,1),CPI_Data[[#This Row],[Date]]&lt;DATE(2020,3,1)),"Pre-COVID",IF(AND(CPI_Data[[#This Row],[Date]]&gt;=DATE(2020,3,1),CPI_Data[[#This Row],[Date]]&lt;DATE(2021,3,1)),"Post-COVID",""))</f>
        <v/>
      </c>
    </row>
    <row r="170" spans="1:32" hidden="1" x14ac:dyDescent="0.25">
      <c r="A170" t="s">
        <v>30</v>
      </c>
      <c r="B170">
        <v>2017</v>
      </c>
      <c r="C170" s="1" t="s">
        <v>42</v>
      </c>
      <c r="D170" s="2">
        <f>DATE(CPI_Data[[#This Row],[Year]],MATCH(CPI_Data[[#This Row],[Month]],{"January","February","March","April","May","June","July","August","September","October","November","December"},0),1)</f>
        <v>42979</v>
      </c>
      <c r="E170">
        <v>135.19999999999999</v>
      </c>
      <c r="F170">
        <v>142</v>
      </c>
      <c r="G170">
        <v>130.5</v>
      </c>
      <c r="H170">
        <v>140.19999999999999</v>
      </c>
      <c r="I170">
        <v>120.7</v>
      </c>
      <c r="J170">
        <v>147.80000000000001</v>
      </c>
      <c r="K170">
        <v>154.5</v>
      </c>
      <c r="L170">
        <v>137.1</v>
      </c>
      <c r="M170">
        <v>121</v>
      </c>
      <c r="N170">
        <v>134.69999999999999</v>
      </c>
      <c r="O170">
        <v>131.69999999999999</v>
      </c>
      <c r="P170">
        <v>149.30000000000001</v>
      </c>
      <c r="Q170">
        <v>139.6</v>
      </c>
      <c r="R170">
        <v>149.80000000000001</v>
      </c>
      <c r="S170">
        <v>146.1</v>
      </c>
      <c r="T170">
        <v>139.69999999999999</v>
      </c>
      <c r="U170">
        <v>145.19999999999999</v>
      </c>
      <c r="V170" t="s">
        <v>32</v>
      </c>
      <c r="W170">
        <v>137.4</v>
      </c>
      <c r="X170">
        <v>137.9</v>
      </c>
      <c r="Y170">
        <v>133.4</v>
      </c>
      <c r="Z170">
        <v>121.2</v>
      </c>
      <c r="AA170">
        <v>132.30000000000001</v>
      </c>
      <c r="AB170">
        <v>139.6</v>
      </c>
      <c r="AC170">
        <v>126.7</v>
      </c>
      <c r="AD170">
        <v>130.30000000000001</v>
      </c>
      <c r="AE170">
        <v>137.6</v>
      </c>
      <c r="AF170" t="str">
        <f>IF(AND(CPI_Data[[#This Row],[Date]]&gt;=DATE(2019,3,1),CPI_Data[[#This Row],[Date]]&lt;DATE(2020,3,1)),"Pre-COVID",IF(AND(CPI_Data[[#This Row],[Date]]&gt;=DATE(2020,3,1),CPI_Data[[#This Row],[Date]]&lt;DATE(2021,3,1)),"Post-COVID",""))</f>
        <v/>
      </c>
    </row>
    <row r="171" spans="1:32" hidden="1" x14ac:dyDescent="0.25">
      <c r="A171" t="s">
        <v>33</v>
      </c>
      <c r="B171">
        <v>2017</v>
      </c>
      <c r="C171" s="1" t="s">
        <v>42</v>
      </c>
      <c r="D171" s="2">
        <f>DATE(CPI_Data[[#This Row],[Year]],MATCH(CPI_Data[[#This Row],[Month]],{"January","February","March","April","May","June","July","August","September","October","November","December"},0),1)</f>
        <v>42979</v>
      </c>
      <c r="E171">
        <v>133.6</v>
      </c>
      <c r="F171">
        <v>143</v>
      </c>
      <c r="G171">
        <v>129.69999999999999</v>
      </c>
      <c r="H171">
        <v>138.69999999999999</v>
      </c>
      <c r="I171">
        <v>114.5</v>
      </c>
      <c r="J171">
        <v>137.5</v>
      </c>
      <c r="K171">
        <v>160.69999999999999</v>
      </c>
      <c r="L171">
        <v>124.5</v>
      </c>
      <c r="M171">
        <v>122.4</v>
      </c>
      <c r="N171">
        <v>137.30000000000001</v>
      </c>
      <c r="O171">
        <v>124.8</v>
      </c>
      <c r="P171">
        <v>145</v>
      </c>
      <c r="Q171">
        <v>138</v>
      </c>
      <c r="R171">
        <v>153.6</v>
      </c>
      <c r="S171">
        <v>133.30000000000001</v>
      </c>
      <c r="T171">
        <v>124.6</v>
      </c>
      <c r="U171">
        <v>132</v>
      </c>
      <c r="V171">
        <v>135.69999999999999</v>
      </c>
      <c r="W171">
        <v>120.6</v>
      </c>
      <c r="X171">
        <v>128.1</v>
      </c>
      <c r="Y171">
        <v>126.1</v>
      </c>
      <c r="Z171">
        <v>115.7</v>
      </c>
      <c r="AA171">
        <v>124.5</v>
      </c>
      <c r="AB171">
        <v>135.9</v>
      </c>
      <c r="AC171">
        <v>124.4</v>
      </c>
      <c r="AD171">
        <v>124.5</v>
      </c>
      <c r="AE171">
        <v>132.4</v>
      </c>
      <c r="AF171" t="str">
        <f>IF(AND(CPI_Data[[#This Row],[Date]]&gt;=DATE(2019,3,1),CPI_Data[[#This Row],[Date]]&lt;DATE(2020,3,1)),"Pre-COVID",IF(AND(CPI_Data[[#This Row],[Date]]&gt;=DATE(2020,3,1),CPI_Data[[#This Row],[Date]]&lt;DATE(2021,3,1)),"Post-COVID",""))</f>
        <v/>
      </c>
    </row>
    <row r="172" spans="1:32" hidden="1" x14ac:dyDescent="0.25">
      <c r="A172" t="s">
        <v>34</v>
      </c>
      <c r="B172">
        <v>2017</v>
      </c>
      <c r="C172" s="1" t="s">
        <v>42</v>
      </c>
      <c r="D172" s="2">
        <f>DATE(CPI_Data[[#This Row],[Year]],MATCH(CPI_Data[[#This Row],[Month]],{"January","February","March","April","May","June","July","August","September","October","November","December"},0),1)</f>
        <v>42979</v>
      </c>
      <c r="E172">
        <v>134.69999999999999</v>
      </c>
      <c r="F172">
        <v>142.4</v>
      </c>
      <c r="G172">
        <v>130.19999999999999</v>
      </c>
      <c r="H172">
        <v>139.6</v>
      </c>
      <c r="I172">
        <v>118.4</v>
      </c>
      <c r="J172">
        <v>143</v>
      </c>
      <c r="K172">
        <v>156.6</v>
      </c>
      <c r="L172">
        <v>132.9</v>
      </c>
      <c r="M172">
        <v>121.5</v>
      </c>
      <c r="N172">
        <v>135.6</v>
      </c>
      <c r="O172">
        <v>128.80000000000001</v>
      </c>
      <c r="P172">
        <v>147.30000000000001</v>
      </c>
      <c r="Q172">
        <v>139</v>
      </c>
      <c r="R172">
        <v>150.80000000000001</v>
      </c>
      <c r="S172">
        <v>141.1</v>
      </c>
      <c r="T172">
        <v>133.4</v>
      </c>
      <c r="U172">
        <v>140</v>
      </c>
      <c r="V172">
        <v>135.69999999999999</v>
      </c>
      <c r="W172">
        <v>131</v>
      </c>
      <c r="X172">
        <v>133.30000000000001</v>
      </c>
      <c r="Y172">
        <v>130.6</v>
      </c>
      <c r="Z172">
        <v>118.3</v>
      </c>
      <c r="AA172">
        <v>127.9</v>
      </c>
      <c r="AB172">
        <v>137.4</v>
      </c>
      <c r="AC172">
        <v>125.7</v>
      </c>
      <c r="AD172">
        <v>127.5</v>
      </c>
      <c r="AE172">
        <v>135.19999999999999</v>
      </c>
      <c r="AF172" t="str">
        <f>IF(AND(CPI_Data[[#This Row],[Date]]&gt;=DATE(2019,3,1),CPI_Data[[#This Row],[Date]]&lt;DATE(2020,3,1)),"Pre-COVID",IF(AND(CPI_Data[[#This Row],[Date]]&gt;=DATE(2020,3,1),CPI_Data[[#This Row],[Date]]&lt;DATE(2021,3,1)),"Post-COVID",""))</f>
        <v/>
      </c>
    </row>
    <row r="173" spans="1:32" hidden="1" x14ac:dyDescent="0.25">
      <c r="A173" t="s">
        <v>30</v>
      </c>
      <c r="B173">
        <v>2017</v>
      </c>
      <c r="C173" s="1" t="s">
        <v>43</v>
      </c>
      <c r="D173" s="2">
        <f>DATE(CPI_Data[[#This Row],[Year]],MATCH(CPI_Data[[#This Row],[Month]],{"January","February","March","April","May","June","July","August","September","October","November","December"},0),1)</f>
        <v>43009</v>
      </c>
      <c r="E173">
        <v>135.9</v>
      </c>
      <c r="F173">
        <v>141.9</v>
      </c>
      <c r="G173">
        <v>131</v>
      </c>
      <c r="H173">
        <v>141.5</v>
      </c>
      <c r="I173">
        <v>121.4</v>
      </c>
      <c r="J173">
        <v>146.69999999999999</v>
      </c>
      <c r="K173">
        <v>157.1</v>
      </c>
      <c r="L173">
        <v>136.4</v>
      </c>
      <c r="M173">
        <v>121.4</v>
      </c>
      <c r="N173">
        <v>135.6</v>
      </c>
      <c r="O173">
        <v>131.30000000000001</v>
      </c>
      <c r="P173">
        <v>150.30000000000001</v>
      </c>
      <c r="Q173">
        <v>140.4</v>
      </c>
      <c r="R173">
        <v>150.5</v>
      </c>
      <c r="S173">
        <v>147.19999999999999</v>
      </c>
      <c r="T173">
        <v>140.6</v>
      </c>
      <c r="U173">
        <v>146.19999999999999</v>
      </c>
      <c r="V173" t="s">
        <v>32</v>
      </c>
      <c r="W173">
        <v>138.1</v>
      </c>
      <c r="X173">
        <v>138.4</v>
      </c>
      <c r="Y173">
        <v>134.19999999999999</v>
      </c>
      <c r="Z173">
        <v>121</v>
      </c>
      <c r="AA173">
        <v>133</v>
      </c>
      <c r="AB173">
        <v>140.1</v>
      </c>
      <c r="AC173">
        <v>127.4</v>
      </c>
      <c r="AD173">
        <v>130.69999999999999</v>
      </c>
      <c r="AE173">
        <v>138.30000000000001</v>
      </c>
      <c r="AF173" t="str">
        <f>IF(AND(CPI_Data[[#This Row],[Date]]&gt;=DATE(2019,3,1),CPI_Data[[#This Row],[Date]]&lt;DATE(2020,3,1)),"Pre-COVID",IF(AND(CPI_Data[[#This Row],[Date]]&gt;=DATE(2020,3,1),CPI_Data[[#This Row],[Date]]&lt;DATE(2021,3,1)),"Post-COVID",""))</f>
        <v/>
      </c>
    </row>
    <row r="174" spans="1:32" hidden="1" x14ac:dyDescent="0.25">
      <c r="A174" t="s">
        <v>33</v>
      </c>
      <c r="B174">
        <v>2017</v>
      </c>
      <c r="C174" s="1" t="s">
        <v>43</v>
      </c>
      <c r="D174" s="2">
        <f>DATE(CPI_Data[[#This Row],[Year]],MATCH(CPI_Data[[#This Row],[Month]],{"January","February","March","April","May","June","July","August","September","October","November","December"},0),1)</f>
        <v>43009</v>
      </c>
      <c r="E174">
        <v>133.9</v>
      </c>
      <c r="F174">
        <v>142.80000000000001</v>
      </c>
      <c r="G174">
        <v>131.4</v>
      </c>
      <c r="H174">
        <v>139.1</v>
      </c>
      <c r="I174">
        <v>114.9</v>
      </c>
      <c r="J174">
        <v>135.6</v>
      </c>
      <c r="K174">
        <v>173.2</v>
      </c>
      <c r="L174">
        <v>124.1</v>
      </c>
      <c r="M174">
        <v>122.6</v>
      </c>
      <c r="N174">
        <v>137.80000000000001</v>
      </c>
      <c r="O174">
        <v>125.1</v>
      </c>
      <c r="P174">
        <v>145.5</v>
      </c>
      <c r="Q174">
        <v>139.69999999999999</v>
      </c>
      <c r="R174">
        <v>154.6</v>
      </c>
      <c r="S174">
        <v>134</v>
      </c>
      <c r="T174">
        <v>124.9</v>
      </c>
      <c r="U174">
        <v>132.6</v>
      </c>
      <c r="V174">
        <v>137.30000000000001</v>
      </c>
      <c r="W174">
        <v>122.6</v>
      </c>
      <c r="X174">
        <v>128.30000000000001</v>
      </c>
      <c r="Y174">
        <v>126.6</v>
      </c>
      <c r="Z174">
        <v>115</v>
      </c>
      <c r="AA174">
        <v>124.8</v>
      </c>
      <c r="AB174">
        <v>136.30000000000001</v>
      </c>
      <c r="AC174">
        <v>124.6</v>
      </c>
      <c r="AD174">
        <v>124.5</v>
      </c>
      <c r="AE174">
        <v>133.5</v>
      </c>
      <c r="AF174" t="str">
        <f>IF(AND(CPI_Data[[#This Row],[Date]]&gt;=DATE(2019,3,1),CPI_Data[[#This Row],[Date]]&lt;DATE(2020,3,1)),"Pre-COVID",IF(AND(CPI_Data[[#This Row],[Date]]&gt;=DATE(2020,3,1),CPI_Data[[#This Row],[Date]]&lt;DATE(2021,3,1)),"Post-COVID",""))</f>
        <v/>
      </c>
    </row>
    <row r="175" spans="1:32" hidden="1" x14ac:dyDescent="0.25">
      <c r="A175" t="s">
        <v>34</v>
      </c>
      <c r="B175">
        <v>2017</v>
      </c>
      <c r="C175" s="1" t="s">
        <v>43</v>
      </c>
      <c r="D175" s="2">
        <f>DATE(CPI_Data[[#This Row],[Year]],MATCH(CPI_Data[[#This Row],[Month]],{"January","February","March","April","May","June","July","August","September","October","November","December"},0),1)</f>
        <v>43009</v>
      </c>
      <c r="E175">
        <v>135.30000000000001</v>
      </c>
      <c r="F175">
        <v>142.19999999999999</v>
      </c>
      <c r="G175">
        <v>131.19999999999999</v>
      </c>
      <c r="H175">
        <v>140.6</v>
      </c>
      <c r="I175">
        <v>119</v>
      </c>
      <c r="J175">
        <v>141.5</v>
      </c>
      <c r="K175">
        <v>162.6</v>
      </c>
      <c r="L175">
        <v>132.30000000000001</v>
      </c>
      <c r="M175">
        <v>121.8</v>
      </c>
      <c r="N175">
        <v>136.30000000000001</v>
      </c>
      <c r="O175">
        <v>128.69999999999999</v>
      </c>
      <c r="P175">
        <v>148.1</v>
      </c>
      <c r="Q175">
        <v>140.1</v>
      </c>
      <c r="R175">
        <v>151.6</v>
      </c>
      <c r="S175">
        <v>142</v>
      </c>
      <c r="T175">
        <v>134.1</v>
      </c>
      <c r="U175">
        <v>140.80000000000001</v>
      </c>
      <c r="V175">
        <v>137.30000000000001</v>
      </c>
      <c r="W175">
        <v>132.19999999999999</v>
      </c>
      <c r="X175">
        <v>133.6</v>
      </c>
      <c r="Y175">
        <v>131.30000000000001</v>
      </c>
      <c r="Z175">
        <v>117.8</v>
      </c>
      <c r="AA175">
        <v>128.4</v>
      </c>
      <c r="AB175">
        <v>137.9</v>
      </c>
      <c r="AC175">
        <v>126.2</v>
      </c>
      <c r="AD175">
        <v>127.7</v>
      </c>
      <c r="AE175">
        <v>136.1</v>
      </c>
      <c r="AF175" t="str">
        <f>IF(AND(CPI_Data[[#This Row],[Date]]&gt;=DATE(2019,3,1),CPI_Data[[#This Row],[Date]]&lt;DATE(2020,3,1)),"Pre-COVID",IF(AND(CPI_Data[[#This Row],[Date]]&gt;=DATE(2020,3,1),CPI_Data[[#This Row],[Date]]&lt;DATE(2021,3,1)),"Post-COVID",""))</f>
        <v/>
      </c>
    </row>
    <row r="176" spans="1:32" hidden="1" x14ac:dyDescent="0.25">
      <c r="A176" t="s">
        <v>30</v>
      </c>
      <c r="B176">
        <v>2017</v>
      </c>
      <c r="C176" s="1" t="s">
        <v>45</v>
      </c>
      <c r="D176" s="2">
        <f>DATE(CPI_Data[[#This Row],[Year]],MATCH(CPI_Data[[#This Row],[Month]],{"January","February","March","April","May","June","July","August","September","October","November","December"},0),1)</f>
        <v>43040</v>
      </c>
      <c r="E176">
        <v>136.30000000000001</v>
      </c>
      <c r="F176">
        <v>142.5</v>
      </c>
      <c r="G176">
        <v>140.5</v>
      </c>
      <c r="H176">
        <v>141.5</v>
      </c>
      <c r="I176">
        <v>121.6</v>
      </c>
      <c r="J176">
        <v>147.30000000000001</v>
      </c>
      <c r="K176">
        <v>168</v>
      </c>
      <c r="L176">
        <v>135.80000000000001</v>
      </c>
      <c r="M176">
        <v>122.5</v>
      </c>
      <c r="N176">
        <v>136</v>
      </c>
      <c r="O176">
        <v>131.9</v>
      </c>
      <c r="P176">
        <v>151.4</v>
      </c>
      <c r="Q176">
        <v>142.4</v>
      </c>
      <c r="R176">
        <v>152.1</v>
      </c>
      <c r="S176">
        <v>148.19999999999999</v>
      </c>
      <c r="T176">
        <v>141.5</v>
      </c>
      <c r="U176">
        <v>147.30000000000001</v>
      </c>
      <c r="V176" t="s">
        <v>32</v>
      </c>
      <c r="W176">
        <v>141.1</v>
      </c>
      <c r="X176">
        <v>139.4</v>
      </c>
      <c r="Y176">
        <v>135.80000000000001</v>
      </c>
      <c r="Z176">
        <v>121.6</v>
      </c>
      <c r="AA176">
        <v>133.69999999999999</v>
      </c>
      <c r="AB176">
        <v>141.5</v>
      </c>
      <c r="AC176">
        <v>128.1</v>
      </c>
      <c r="AD176">
        <v>131.69999999999999</v>
      </c>
      <c r="AE176">
        <v>140</v>
      </c>
      <c r="AF176" t="str">
        <f>IF(AND(CPI_Data[[#This Row],[Date]]&gt;=DATE(2019,3,1),CPI_Data[[#This Row],[Date]]&lt;DATE(2020,3,1)),"Pre-COVID",IF(AND(CPI_Data[[#This Row],[Date]]&gt;=DATE(2020,3,1),CPI_Data[[#This Row],[Date]]&lt;DATE(2021,3,1)),"Post-COVID",""))</f>
        <v/>
      </c>
    </row>
    <row r="177" spans="1:32" hidden="1" x14ac:dyDescent="0.25">
      <c r="A177" t="s">
        <v>33</v>
      </c>
      <c r="B177">
        <v>2017</v>
      </c>
      <c r="C177" s="1" t="s">
        <v>45</v>
      </c>
      <c r="D177" s="2">
        <f>DATE(CPI_Data[[#This Row],[Year]],MATCH(CPI_Data[[#This Row],[Month]],{"January","February","March","April","May","June","July","August","September","October","November","December"},0),1)</f>
        <v>43040</v>
      </c>
      <c r="E177">
        <v>134.30000000000001</v>
      </c>
      <c r="F177">
        <v>142.1</v>
      </c>
      <c r="G177">
        <v>146.69999999999999</v>
      </c>
      <c r="H177">
        <v>139.5</v>
      </c>
      <c r="I177">
        <v>115.2</v>
      </c>
      <c r="J177">
        <v>136.4</v>
      </c>
      <c r="K177">
        <v>185.2</v>
      </c>
      <c r="L177">
        <v>122.2</v>
      </c>
      <c r="M177">
        <v>123.9</v>
      </c>
      <c r="N177">
        <v>138.30000000000001</v>
      </c>
      <c r="O177">
        <v>125.4</v>
      </c>
      <c r="P177">
        <v>146</v>
      </c>
      <c r="Q177">
        <v>141.5</v>
      </c>
      <c r="R177">
        <v>156.19999999999999</v>
      </c>
      <c r="S177">
        <v>135</v>
      </c>
      <c r="T177">
        <v>125.4</v>
      </c>
      <c r="U177">
        <v>133.5</v>
      </c>
      <c r="V177">
        <v>138.6</v>
      </c>
      <c r="W177">
        <v>125.7</v>
      </c>
      <c r="X177">
        <v>128.80000000000001</v>
      </c>
      <c r="Y177">
        <v>127.4</v>
      </c>
      <c r="Z177">
        <v>115.3</v>
      </c>
      <c r="AA177">
        <v>125.1</v>
      </c>
      <c r="AB177">
        <v>136.6</v>
      </c>
      <c r="AC177">
        <v>124.9</v>
      </c>
      <c r="AD177">
        <v>124.9</v>
      </c>
      <c r="AE177">
        <v>134.80000000000001</v>
      </c>
      <c r="AF177" t="str">
        <f>IF(AND(CPI_Data[[#This Row],[Date]]&gt;=DATE(2019,3,1),CPI_Data[[#This Row],[Date]]&lt;DATE(2020,3,1)),"Pre-COVID",IF(AND(CPI_Data[[#This Row],[Date]]&gt;=DATE(2020,3,1),CPI_Data[[#This Row],[Date]]&lt;DATE(2021,3,1)),"Post-COVID",""))</f>
        <v/>
      </c>
    </row>
    <row r="178" spans="1:32" hidden="1" x14ac:dyDescent="0.25">
      <c r="A178" t="s">
        <v>34</v>
      </c>
      <c r="B178">
        <v>2017</v>
      </c>
      <c r="C178" s="1" t="s">
        <v>45</v>
      </c>
      <c r="D178" s="2">
        <f>DATE(CPI_Data[[#This Row],[Year]],MATCH(CPI_Data[[#This Row],[Month]],{"January","February","March","April","May","June","July","August","September","October","November","December"},0),1)</f>
        <v>43040</v>
      </c>
      <c r="E178">
        <v>135.69999999999999</v>
      </c>
      <c r="F178">
        <v>142.4</v>
      </c>
      <c r="G178">
        <v>142.9</v>
      </c>
      <c r="H178">
        <v>140.80000000000001</v>
      </c>
      <c r="I178">
        <v>119.2</v>
      </c>
      <c r="J178">
        <v>142.19999999999999</v>
      </c>
      <c r="K178">
        <v>173.8</v>
      </c>
      <c r="L178">
        <v>131.19999999999999</v>
      </c>
      <c r="M178">
        <v>123</v>
      </c>
      <c r="N178">
        <v>136.80000000000001</v>
      </c>
      <c r="O178">
        <v>129.19999999999999</v>
      </c>
      <c r="P178">
        <v>148.9</v>
      </c>
      <c r="Q178">
        <v>142.1</v>
      </c>
      <c r="R178">
        <v>153.19999999999999</v>
      </c>
      <c r="S178">
        <v>143</v>
      </c>
      <c r="T178">
        <v>134.80000000000001</v>
      </c>
      <c r="U178">
        <v>141.80000000000001</v>
      </c>
      <c r="V178">
        <v>138.6</v>
      </c>
      <c r="W178">
        <v>135.30000000000001</v>
      </c>
      <c r="X178">
        <v>134.4</v>
      </c>
      <c r="Y178">
        <v>132.6</v>
      </c>
      <c r="Z178">
        <v>118.3</v>
      </c>
      <c r="AA178">
        <v>128.9</v>
      </c>
      <c r="AB178">
        <v>138.6</v>
      </c>
      <c r="AC178">
        <v>126.8</v>
      </c>
      <c r="AD178">
        <v>128.4</v>
      </c>
      <c r="AE178">
        <v>137.6</v>
      </c>
      <c r="AF178" t="str">
        <f>IF(AND(CPI_Data[[#This Row],[Date]]&gt;=DATE(2019,3,1),CPI_Data[[#This Row],[Date]]&lt;DATE(2020,3,1)),"Pre-COVID",IF(AND(CPI_Data[[#This Row],[Date]]&gt;=DATE(2020,3,1),CPI_Data[[#This Row],[Date]]&lt;DATE(2021,3,1)),"Post-COVID",""))</f>
        <v/>
      </c>
    </row>
    <row r="179" spans="1:32" hidden="1" x14ac:dyDescent="0.25">
      <c r="A179" t="s">
        <v>30</v>
      </c>
      <c r="B179">
        <v>2017</v>
      </c>
      <c r="C179" s="1" t="s">
        <v>46</v>
      </c>
      <c r="D179" s="2">
        <f>DATE(CPI_Data[[#This Row],[Year]],MATCH(CPI_Data[[#This Row],[Month]],{"January","February","March","April","May","June","July","August","September","October","November","December"},0),1)</f>
        <v>43070</v>
      </c>
      <c r="E179">
        <v>136.4</v>
      </c>
      <c r="F179">
        <v>143.69999999999999</v>
      </c>
      <c r="G179">
        <v>144.80000000000001</v>
      </c>
      <c r="H179">
        <v>141.9</v>
      </c>
      <c r="I179">
        <v>123.1</v>
      </c>
      <c r="J179">
        <v>147.19999999999999</v>
      </c>
      <c r="K179">
        <v>161</v>
      </c>
      <c r="L179">
        <v>133.80000000000001</v>
      </c>
      <c r="M179">
        <v>121.9</v>
      </c>
      <c r="N179">
        <v>135.80000000000001</v>
      </c>
      <c r="O179">
        <v>131.1</v>
      </c>
      <c r="P179">
        <v>151.4</v>
      </c>
      <c r="Q179">
        <v>141.5</v>
      </c>
      <c r="R179">
        <v>153.19999999999999</v>
      </c>
      <c r="S179">
        <v>148</v>
      </c>
      <c r="T179">
        <v>141.9</v>
      </c>
      <c r="U179">
        <v>147.19999999999999</v>
      </c>
      <c r="V179" t="s">
        <v>32</v>
      </c>
      <c r="W179">
        <v>142.6</v>
      </c>
      <c r="X179">
        <v>139.5</v>
      </c>
      <c r="Y179">
        <v>136.1</v>
      </c>
      <c r="Z179">
        <v>122</v>
      </c>
      <c r="AA179">
        <v>133.4</v>
      </c>
      <c r="AB179">
        <v>141.1</v>
      </c>
      <c r="AC179">
        <v>127.8</v>
      </c>
      <c r="AD179">
        <v>131.9</v>
      </c>
      <c r="AE179">
        <v>139.80000000000001</v>
      </c>
      <c r="AF179" t="str">
        <f>IF(AND(CPI_Data[[#This Row],[Date]]&gt;=DATE(2019,3,1),CPI_Data[[#This Row],[Date]]&lt;DATE(2020,3,1)),"Pre-COVID",IF(AND(CPI_Data[[#This Row],[Date]]&gt;=DATE(2020,3,1),CPI_Data[[#This Row],[Date]]&lt;DATE(2021,3,1)),"Post-COVID",""))</f>
        <v/>
      </c>
    </row>
    <row r="180" spans="1:32" hidden="1" x14ac:dyDescent="0.25">
      <c r="A180" t="s">
        <v>33</v>
      </c>
      <c r="B180">
        <v>2017</v>
      </c>
      <c r="C180" s="1" t="s">
        <v>46</v>
      </c>
      <c r="D180" s="2">
        <f>DATE(CPI_Data[[#This Row],[Year]],MATCH(CPI_Data[[#This Row],[Month]],{"January","February","March","April","May","June","July","August","September","October","November","December"},0),1)</f>
        <v>43070</v>
      </c>
      <c r="E180">
        <v>134.4</v>
      </c>
      <c r="F180">
        <v>142.6</v>
      </c>
      <c r="G180">
        <v>145.9</v>
      </c>
      <c r="H180">
        <v>139.5</v>
      </c>
      <c r="I180">
        <v>115.9</v>
      </c>
      <c r="J180">
        <v>135</v>
      </c>
      <c r="K180">
        <v>163.19999999999999</v>
      </c>
      <c r="L180">
        <v>119.8</v>
      </c>
      <c r="M180">
        <v>120.7</v>
      </c>
      <c r="N180">
        <v>139.69999999999999</v>
      </c>
      <c r="O180">
        <v>125.7</v>
      </c>
      <c r="P180">
        <v>146.30000000000001</v>
      </c>
      <c r="Q180">
        <v>138.80000000000001</v>
      </c>
      <c r="R180">
        <v>157</v>
      </c>
      <c r="S180">
        <v>135.6</v>
      </c>
      <c r="T180">
        <v>125.6</v>
      </c>
      <c r="U180">
        <v>134</v>
      </c>
      <c r="V180">
        <v>139.1</v>
      </c>
      <c r="W180">
        <v>126.8</v>
      </c>
      <c r="X180">
        <v>129.30000000000001</v>
      </c>
      <c r="Y180">
        <v>128.19999999999999</v>
      </c>
      <c r="Z180">
        <v>115.3</v>
      </c>
      <c r="AA180">
        <v>125.6</v>
      </c>
      <c r="AB180">
        <v>136.69999999999999</v>
      </c>
      <c r="AC180">
        <v>124.6</v>
      </c>
      <c r="AD180">
        <v>125.1</v>
      </c>
      <c r="AE180">
        <v>134.1</v>
      </c>
      <c r="AF180" t="str">
        <f>IF(AND(CPI_Data[[#This Row],[Date]]&gt;=DATE(2019,3,1),CPI_Data[[#This Row],[Date]]&lt;DATE(2020,3,1)),"Pre-COVID",IF(AND(CPI_Data[[#This Row],[Date]]&gt;=DATE(2020,3,1),CPI_Data[[#This Row],[Date]]&lt;DATE(2021,3,1)),"Post-COVID",""))</f>
        <v/>
      </c>
    </row>
    <row r="181" spans="1:32" hidden="1" x14ac:dyDescent="0.25">
      <c r="A181" t="s">
        <v>34</v>
      </c>
      <c r="B181">
        <v>2017</v>
      </c>
      <c r="C181" s="1" t="s">
        <v>46</v>
      </c>
      <c r="D181" s="2">
        <f>DATE(CPI_Data[[#This Row],[Year]],MATCH(CPI_Data[[#This Row],[Month]],{"January","February","March","April","May","June","July","August","September","October","November","December"},0),1)</f>
        <v>43070</v>
      </c>
      <c r="E181">
        <v>135.80000000000001</v>
      </c>
      <c r="F181">
        <v>143.30000000000001</v>
      </c>
      <c r="G181">
        <v>145.19999999999999</v>
      </c>
      <c r="H181">
        <v>141</v>
      </c>
      <c r="I181">
        <v>120.5</v>
      </c>
      <c r="J181">
        <v>141.5</v>
      </c>
      <c r="K181">
        <v>161.69999999999999</v>
      </c>
      <c r="L181">
        <v>129.1</v>
      </c>
      <c r="M181">
        <v>121.5</v>
      </c>
      <c r="N181">
        <v>137.1</v>
      </c>
      <c r="O181">
        <v>128.80000000000001</v>
      </c>
      <c r="P181">
        <v>149</v>
      </c>
      <c r="Q181">
        <v>140.5</v>
      </c>
      <c r="R181">
        <v>154.19999999999999</v>
      </c>
      <c r="S181">
        <v>143.1</v>
      </c>
      <c r="T181">
        <v>135.1</v>
      </c>
      <c r="U181">
        <v>142</v>
      </c>
      <c r="V181">
        <v>139.1</v>
      </c>
      <c r="W181">
        <v>136.6</v>
      </c>
      <c r="X181">
        <v>134.69999999999999</v>
      </c>
      <c r="Y181">
        <v>133.1</v>
      </c>
      <c r="Z181">
        <v>118.5</v>
      </c>
      <c r="AA181">
        <v>129</v>
      </c>
      <c r="AB181">
        <v>138.5</v>
      </c>
      <c r="AC181">
        <v>126.5</v>
      </c>
      <c r="AD181">
        <v>128.6</v>
      </c>
      <c r="AE181">
        <v>137.19999999999999</v>
      </c>
      <c r="AF181" t="str">
        <f>IF(AND(CPI_Data[[#This Row],[Date]]&gt;=DATE(2019,3,1),CPI_Data[[#This Row],[Date]]&lt;DATE(2020,3,1)),"Pre-COVID",IF(AND(CPI_Data[[#This Row],[Date]]&gt;=DATE(2020,3,1),CPI_Data[[#This Row],[Date]]&lt;DATE(2021,3,1)),"Post-COVID",""))</f>
        <v/>
      </c>
    </row>
    <row r="182" spans="1:32" hidden="1" x14ac:dyDescent="0.25">
      <c r="A182" t="s">
        <v>30</v>
      </c>
      <c r="B182">
        <v>2018</v>
      </c>
      <c r="C182" s="1" t="s">
        <v>31</v>
      </c>
      <c r="D182" s="2">
        <f>DATE(CPI_Data[[#This Row],[Year]],MATCH(CPI_Data[[#This Row],[Month]],{"January","February","March","April","May","June","July","August","September","October","November","December"},0),1)</f>
        <v>43101</v>
      </c>
      <c r="E182">
        <v>136.6</v>
      </c>
      <c r="F182">
        <v>144.4</v>
      </c>
      <c r="G182">
        <v>143.80000000000001</v>
      </c>
      <c r="H182">
        <v>142</v>
      </c>
      <c r="I182">
        <v>123.2</v>
      </c>
      <c r="J182">
        <v>147.9</v>
      </c>
      <c r="K182">
        <v>152.1</v>
      </c>
      <c r="L182">
        <v>131.80000000000001</v>
      </c>
      <c r="M182">
        <v>119.5</v>
      </c>
      <c r="N182">
        <v>136</v>
      </c>
      <c r="O182">
        <v>131.19999999999999</v>
      </c>
      <c r="P182">
        <v>151.80000000000001</v>
      </c>
      <c r="Q182">
        <v>140.4</v>
      </c>
      <c r="R182">
        <v>153.6</v>
      </c>
      <c r="S182">
        <v>148.30000000000001</v>
      </c>
      <c r="T182">
        <v>142.30000000000001</v>
      </c>
      <c r="U182">
        <v>147.5</v>
      </c>
      <c r="V182" t="s">
        <v>32</v>
      </c>
      <c r="W182">
        <v>142.30000000000001</v>
      </c>
      <c r="X182">
        <v>139.80000000000001</v>
      </c>
      <c r="Y182">
        <v>136</v>
      </c>
      <c r="Z182">
        <v>122.7</v>
      </c>
      <c r="AA182">
        <v>134.30000000000001</v>
      </c>
      <c r="AB182">
        <v>141.6</v>
      </c>
      <c r="AC182">
        <v>128.6</v>
      </c>
      <c r="AD182">
        <v>132.30000000000001</v>
      </c>
      <c r="AE182">
        <v>139.30000000000001</v>
      </c>
      <c r="AF182" t="str">
        <f>IF(AND(CPI_Data[[#This Row],[Date]]&gt;=DATE(2019,3,1),CPI_Data[[#This Row],[Date]]&lt;DATE(2020,3,1)),"Pre-COVID",IF(AND(CPI_Data[[#This Row],[Date]]&gt;=DATE(2020,3,1),CPI_Data[[#This Row],[Date]]&lt;DATE(2021,3,1)),"Post-COVID",""))</f>
        <v/>
      </c>
    </row>
    <row r="183" spans="1:32" hidden="1" x14ac:dyDescent="0.25">
      <c r="A183" t="s">
        <v>33</v>
      </c>
      <c r="B183">
        <v>2018</v>
      </c>
      <c r="C183" s="1" t="s">
        <v>31</v>
      </c>
      <c r="D183" s="2">
        <f>DATE(CPI_Data[[#This Row],[Year]],MATCH(CPI_Data[[#This Row],[Month]],{"January","February","March","April","May","June","July","August","September","October","November","December"},0),1)</f>
        <v>43101</v>
      </c>
      <c r="E183">
        <v>134.6</v>
      </c>
      <c r="F183">
        <v>143.69999999999999</v>
      </c>
      <c r="G183">
        <v>143.6</v>
      </c>
      <c r="H183">
        <v>139.6</v>
      </c>
      <c r="I183">
        <v>116.4</v>
      </c>
      <c r="J183">
        <v>133.80000000000001</v>
      </c>
      <c r="K183">
        <v>150.5</v>
      </c>
      <c r="L183">
        <v>118.4</v>
      </c>
      <c r="M183">
        <v>117.3</v>
      </c>
      <c r="N183">
        <v>140.5</v>
      </c>
      <c r="O183">
        <v>125.9</v>
      </c>
      <c r="P183">
        <v>146.80000000000001</v>
      </c>
      <c r="Q183">
        <v>137.19999999999999</v>
      </c>
      <c r="R183">
        <v>157.69999999999999</v>
      </c>
      <c r="S183">
        <v>136</v>
      </c>
      <c r="T183">
        <v>125.9</v>
      </c>
      <c r="U183">
        <v>134.4</v>
      </c>
      <c r="V183">
        <v>140.4</v>
      </c>
      <c r="W183">
        <v>127.3</v>
      </c>
      <c r="X183">
        <v>129.5</v>
      </c>
      <c r="Y183">
        <v>129</v>
      </c>
      <c r="Z183">
        <v>116.3</v>
      </c>
      <c r="AA183">
        <v>126.2</v>
      </c>
      <c r="AB183">
        <v>137.1</v>
      </c>
      <c r="AC183">
        <v>125.5</v>
      </c>
      <c r="AD183">
        <v>125.8</v>
      </c>
      <c r="AE183">
        <v>134.1</v>
      </c>
      <c r="AF183" t="str">
        <f>IF(AND(CPI_Data[[#This Row],[Date]]&gt;=DATE(2019,3,1),CPI_Data[[#This Row],[Date]]&lt;DATE(2020,3,1)),"Pre-COVID",IF(AND(CPI_Data[[#This Row],[Date]]&gt;=DATE(2020,3,1),CPI_Data[[#This Row],[Date]]&lt;DATE(2021,3,1)),"Post-COVID",""))</f>
        <v/>
      </c>
    </row>
    <row r="184" spans="1:32" hidden="1" x14ac:dyDescent="0.25">
      <c r="A184" t="s">
        <v>34</v>
      </c>
      <c r="B184">
        <v>2018</v>
      </c>
      <c r="C184" s="1" t="s">
        <v>31</v>
      </c>
      <c r="D184" s="2">
        <f>DATE(CPI_Data[[#This Row],[Year]],MATCH(CPI_Data[[#This Row],[Month]],{"January","February","March","April","May","June","July","August","September","October","November","December"},0),1)</f>
        <v>43101</v>
      </c>
      <c r="E184">
        <v>136</v>
      </c>
      <c r="F184">
        <v>144.19999999999999</v>
      </c>
      <c r="G184">
        <v>143.69999999999999</v>
      </c>
      <c r="H184">
        <v>141.1</v>
      </c>
      <c r="I184">
        <v>120.7</v>
      </c>
      <c r="J184">
        <v>141.30000000000001</v>
      </c>
      <c r="K184">
        <v>151.6</v>
      </c>
      <c r="L184">
        <v>127.3</v>
      </c>
      <c r="M184">
        <v>118.8</v>
      </c>
      <c r="N184">
        <v>137.5</v>
      </c>
      <c r="O184">
        <v>129</v>
      </c>
      <c r="P184">
        <v>149.5</v>
      </c>
      <c r="Q184">
        <v>139.19999999999999</v>
      </c>
      <c r="R184">
        <v>154.69999999999999</v>
      </c>
      <c r="S184">
        <v>143.5</v>
      </c>
      <c r="T184">
        <v>135.5</v>
      </c>
      <c r="U184">
        <v>142.30000000000001</v>
      </c>
      <c r="V184">
        <v>140.4</v>
      </c>
      <c r="W184">
        <v>136.6</v>
      </c>
      <c r="X184">
        <v>134.9</v>
      </c>
      <c r="Y184">
        <v>133.30000000000001</v>
      </c>
      <c r="Z184">
        <v>119.3</v>
      </c>
      <c r="AA184">
        <v>129.69999999999999</v>
      </c>
      <c r="AB184">
        <v>139</v>
      </c>
      <c r="AC184">
        <v>127.3</v>
      </c>
      <c r="AD184">
        <v>129.1</v>
      </c>
      <c r="AE184">
        <v>136.9</v>
      </c>
      <c r="AF184" t="str">
        <f>IF(AND(CPI_Data[[#This Row],[Date]]&gt;=DATE(2019,3,1),CPI_Data[[#This Row],[Date]]&lt;DATE(2020,3,1)),"Pre-COVID",IF(AND(CPI_Data[[#This Row],[Date]]&gt;=DATE(2020,3,1),CPI_Data[[#This Row],[Date]]&lt;DATE(2021,3,1)),"Post-COVID",""))</f>
        <v/>
      </c>
    </row>
    <row r="185" spans="1:32" hidden="1" x14ac:dyDescent="0.25">
      <c r="A185" t="s">
        <v>30</v>
      </c>
      <c r="B185">
        <v>2018</v>
      </c>
      <c r="C185" s="1" t="s">
        <v>35</v>
      </c>
      <c r="D185" s="2">
        <f>DATE(CPI_Data[[#This Row],[Year]],MATCH(CPI_Data[[#This Row],[Month]],{"January","February","March","April","May","June","July","August","September","October","November","December"},0),1)</f>
        <v>43132</v>
      </c>
      <c r="E185">
        <v>136.4</v>
      </c>
      <c r="F185">
        <v>143.69999999999999</v>
      </c>
      <c r="G185">
        <v>140.6</v>
      </c>
      <c r="H185">
        <v>141.5</v>
      </c>
      <c r="I185">
        <v>122.9</v>
      </c>
      <c r="J185">
        <v>149.4</v>
      </c>
      <c r="K185">
        <v>142.4</v>
      </c>
      <c r="L185">
        <v>130.19999999999999</v>
      </c>
      <c r="M185">
        <v>117.9</v>
      </c>
      <c r="N185">
        <v>135.6</v>
      </c>
      <c r="O185">
        <v>130.5</v>
      </c>
      <c r="P185">
        <v>151.69999999999999</v>
      </c>
      <c r="Q185">
        <v>138.69999999999999</v>
      </c>
      <c r="R185">
        <v>153.30000000000001</v>
      </c>
      <c r="S185">
        <v>148.69999999999999</v>
      </c>
      <c r="T185">
        <v>142.4</v>
      </c>
      <c r="U185">
        <v>147.80000000000001</v>
      </c>
      <c r="V185" t="s">
        <v>32</v>
      </c>
      <c r="W185">
        <v>142.4</v>
      </c>
      <c r="X185">
        <v>139.9</v>
      </c>
      <c r="Y185">
        <v>136.19999999999999</v>
      </c>
      <c r="Z185">
        <v>123.3</v>
      </c>
      <c r="AA185">
        <v>134.30000000000001</v>
      </c>
      <c r="AB185">
        <v>141.5</v>
      </c>
      <c r="AC185">
        <v>128.80000000000001</v>
      </c>
      <c r="AD185">
        <v>132.5</v>
      </c>
      <c r="AE185">
        <v>138.5</v>
      </c>
      <c r="AF185" t="str">
        <f>IF(AND(CPI_Data[[#This Row],[Date]]&gt;=DATE(2019,3,1),CPI_Data[[#This Row],[Date]]&lt;DATE(2020,3,1)),"Pre-COVID",IF(AND(CPI_Data[[#This Row],[Date]]&gt;=DATE(2020,3,1),CPI_Data[[#This Row],[Date]]&lt;DATE(2021,3,1)),"Post-COVID",""))</f>
        <v/>
      </c>
    </row>
    <row r="186" spans="1:32" hidden="1" x14ac:dyDescent="0.25">
      <c r="A186" t="s">
        <v>33</v>
      </c>
      <c r="B186">
        <v>2018</v>
      </c>
      <c r="C186" s="1" t="s">
        <v>35</v>
      </c>
      <c r="D186" s="2">
        <f>DATE(CPI_Data[[#This Row],[Year]],MATCH(CPI_Data[[#This Row],[Month]],{"January","February","March","April","May","June","July","August","September","October","November","December"},0),1)</f>
        <v>43132</v>
      </c>
      <c r="E186">
        <v>134.80000000000001</v>
      </c>
      <c r="F186">
        <v>143</v>
      </c>
      <c r="G186">
        <v>139.9</v>
      </c>
      <c r="H186">
        <v>139.9</v>
      </c>
      <c r="I186">
        <v>116.2</v>
      </c>
      <c r="J186">
        <v>135.5</v>
      </c>
      <c r="K186">
        <v>136.9</v>
      </c>
      <c r="L186">
        <v>117</v>
      </c>
      <c r="M186">
        <v>115.4</v>
      </c>
      <c r="N186">
        <v>140.69999999999999</v>
      </c>
      <c r="O186">
        <v>125.9</v>
      </c>
      <c r="P186">
        <v>147.1</v>
      </c>
      <c r="Q186">
        <v>135.6</v>
      </c>
      <c r="R186">
        <v>159.30000000000001</v>
      </c>
      <c r="S186">
        <v>136.30000000000001</v>
      </c>
      <c r="T186">
        <v>126.1</v>
      </c>
      <c r="U186">
        <v>134.69999999999999</v>
      </c>
      <c r="V186">
        <v>141.30000000000001</v>
      </c>
      <c r="W186">
        <v>127.3</v>
      </c>
      <c r="X186">
        <v>129.9</v>
      </c>
      <c r="Y186">
        <v>129.80000000000001</v>
      </c>
      <c r="Z186">
        <v>117.4</v>
      </c>
      <c r="AA186">
        <v>126.5</v>
      </c>
      <c r="AB186">
        <v>137.19999999999999</v>
      </c>
      <c r="AC186">
        <v>126.2</v>
      </c>
      <c r="AD186">
        <v>126.5</v>
      </c>
      <c r="AE186">
        <v>134</v>
      </c>
      <c r="AF186" t="str">
        <f>IF(AND(CPI_Data[[#This Row],[Date]]&gt;=DATE(2019,3,1),CPI_Data[[#This Row],[Date]]&lt;DATE(2020,3,1)),"Pre-COVID",IF(AND(CPI_Data[[#This Row],[Date]]&gt;=DATE(2020,3,1),CPI_Data[[#This Row],[Date]]&lt;DATE(2021,3,1)),"Post-COVID",""))</f>
        <v/>
      </c>
    </row>
    <row r="187" spans="1:32" hidden="1" x14ac:dyDescent="0.25">
      <c r="A187" t="s">
        <v>34</v>
      </c>
      <c r="B187">
        <v>2018</v>
      </c>
      <c r="C187" s="1" t="s">
        <v>35</v>
      </c>
      <c r="D187" s="2">
        <f>DATE(CPI_Data[[#This Row],[Year]],MATCH(CPI_Data[[#This Row],[Month]],{"January","February","March","April","May","June","July","August","September","October","November","December"},0),1)</f>
        <v>43132</v>
      </c>
      <c r="E187">
        <v>135.9</v>
      </c>
      <c r="F187">
        <v>143.5</v>
      </c>
      <c r="G187">
        <v>140.30000000000001</v>
      </c>
      <c r="H187">
        <v>140.9</v>
      </c>
      <c r="I187">
        <v>120.4</v>
      </c>
      <c r="J187">
        <v>142.9</v>
      </c>
      <c r="K187">
        <v>140.5</v>
      </c>
      <c r="L187">
        <v>125.8</v>
      </c>
      <c r="M187">
        <v>117.1</v>
      </c>
      <c r="N187">
        <v>137.30000000000001</v>
      </c>
      <c r="O187">
        <v>128.6</v>
      </c>
      <c r="P187">
        <v>149.6</v>
      </c>
      <c r="Q187">
        <v>137.6</v>
      </c>
      <c r="R187">
        <v>154.9</v>
      </c>
      <c r="S187">
        <v>143.80000000000001</v>
      </c>
      <c r="T187">
        <v>135.6</v>
      </c>
      <c r="U187">
        <v>142.6</v>
      </c>
      <c r="V187">
        <v>141.30000000000001</v>
      </c>
      <c r="W187">
        <v>136.69999999999999</v>
      </c>
      <c r="X187">
        <v>135.19999999999999</v>
      </c>
      <c r="Y187">
        <v>133.80000000000001</v>
      </c>
      <c r="Z187">
        <v>120.2</v>
      </c>
      <c r="AA187">
        <v>129.9</v>
      </c>
      <c r="AB187">
        <v>139</v>
      </c>
      <c r="AC187">
        <v>127.7</v>
      </c>
      <c r="AD187">
        <v>129.6</v>
      </c>
      <c r="AE187">
        <v>136.4</v>
      </c>
      <c r="AF187" t="str">
        <f>IF(AND(CPI_Data[[#This Row],[Date]]&gt;=DATE(2019,3,1),CPI_Data[[#This Row],[Date]]&lt;DATE(2020,3,1)),"Pre-COVID",IF(AND(CPI_Data[[#This Row],[Date]]&gt;=DATE(2020,3,1),CPI_Data[[#This Row],[Date]]&lt;DATE(2021,3,1)),"Post-COVID",""))</f>
        <v/>
      </c>
    </row>
    <row r="188" spans="1:32" hidden="1" x14ac:dyDescent="0.25">
      <c r="A188" t="s">
        <v>30</v>
      </c>
      <c r="B188">
        <v>2018</v>
      </c>
      <c r="C188" s="1" t="s">
        <v>36</v>
      </c>
      <c r="D188" s="2">
        <f>DATE(CPI_Data[[#This Row],[Year]],MATCH(CPI_Data[[#This Row],[Month]],{"January","February","March","April","May","June","July","August","September","October","November","December"},0),1)</f>
        <v>43160</v>
      </c>
      <c r="E188">
        <v>136.80000000000001</v>
      </c>
      <c r="F188">
        <v>143.80000000000001</v>
      </c>
      <c r="G188">
        <v>140</v>
      </c>
      <c r="H188">
        <v>142</v>
      </c>
      <c r="I188">
        <v>123.2</v>
      </c>
      <c r="J188">
        <v>152.9</v>
      </c>
      <c r="K188">
        <v>138</v>
      </c>
      <c r="L188">
        <v>129.30000000000001</v>
      </c>
      <c r="M188">
        <v>117.1</v>
      </c>
      <c r="N188">
        <v>136.30000000000001</v>
      </c>
      <c r="O188">
        <v>131.19999999999999</v>
      </c>
      <c r="P188">
        <v>152.80000000000001</v>
      </c>
      <c r="Q188">
        <v>138.6</v>
      </c>
      <c r="R188">
        <v>155.1</v>
      </c>
      <c r="S188">
        <v>149.19999999999999</v>
      </c>
      <c r="T188">
        <v>143</v>
      </c>
      <c r="U188">
        <v>148.30000000000001</v>
      </c>
      <c r="V188" t="s">
        <v>32</v>
      </c>
      <c r="W188">
        <v>142.6</v>
      </c>
      <c r="X188">
        <v>139.9</v>
      </c>
      <c r="Y188">
        <v>136.69999999999999</v>
      </c>
      <c r="Z188">
        <v>124.6</v>
      </c>
      <c r="AA188">
        <v>135.1</v>
      </c>
      <c r="AB188">
        <v>142.69999999999999</v>
      </c>
      <c r="AC188">
        <v>129.30000000000001</v>
      </c>
      <c r="AD188">
        <v>133.30000000000001</v>
      </c>
      <c r="AE188">
        <v>138.69999999999999</v>
      </c>
      <c r="AF188" t="str">
        <f>IF(AND(CPI_Data[[#This Row],[Date]]&gt;=DATE(2019,3,1),CPI_Data[[#This Row],[Date]]&lt;DATE(2020,3,1)),"Pre-COVID",IF(AND(CPI_Data[[#This Row],[Date]]&gt;=DATE(2020,3,1),CPI_Data[[#This Row],[Date]]&lt;DATE(2021,3,1)),"Post-COVID",""))</f>
        <v/>
      </c>
    </row>
    <row r="189" spans="1:32" hidden="1" x14ac:dyDescent="0.25">
      <c r="A189" t="s">
        <v>33</v>
      </c>
      <c r="B189">
        <v>2018</v>
      </c>
      <c r="C189" s="1" t="s">
        <v>36</v>
      </c>
      <c r="D189" s="2">
        <f>DATE(CPI_Data[[#This Row],[Year]],MATCH(CPI_Data[[#This Row],[Month]],{"January","February","March","April","May","June","July","August","September","October","November","December"},0),1)</f>
        <v>43160</v>
      </c>
      <c r="E189">
        <v>135</v>
      </c>
      <c r="F189">
        <v>143.1</v>
      </c>
      <c r="G189">
        <v>135.5</v>
      </c>
      <c r="H189">
        <v>139.9</v>
      </c>
      <c r="I189">
        <v>116.5</v>
      </c>
      <c r="J189">
        <v>138.5</v>
      </c>
      <c r="K189">
        <v>128</v>
      </c>
      <c r="L189">
        <v>115.5</v>
      </c>
      <c r="M189">
        <v>114.2</v>
      </c>
      <c r="N189">
        <v>140.69999999999999</v>
      </c>
      <c r="O189">
        <v>126.2</v>
      </c>
      <c r="P189">
        <v>147.6</v>
      </c>
      <c r="Q189">
        <v>134.80000000000001</v>
      </c>
      <c r="R189">
        <v>159.69999999999999</v>
      </c>
      <c r="S189">
        <v>136.69999999999999</v>
      </c>
      <c r="T189">
        <v>126.7</v>
      </c>
      <c r="U189">
        <v>135.19999999999999</v>
      </c>
      <c r="V189">
        <v>142</v>
      </c>
      <c r="W189">
        <v>126.4</v>
      </c>
      <c r="X189">
        <v>130.80000000000001</v>
      </c>
      <c r="Y189">
        <v>130.5</v>
      </c>
      <c r="Z189">
        <v>117.8</v>
      </c>
      <c r="AA189">
        <v>126.8</v>
      </c>
      <c r="AB189">
        <v>137.80000000000001</v>
      </c>
      <c r="AC189">
        <v>126.7</v>
      </c>
      <c r="AD189">
        <v>127.1</v>
      </c>
      <c r="AE189">
        <v>134</v>
      </c>
      <c r="AF189" t="str">
        <f>IF(AND(CPI_Data[[#This Row],[Date]]&gt;=DATE(2019,3,1),CPI_Data[[#This Row],[Date]]&lt;DATE(2020,3,1)),"Pre-COVID",IF(AND(CPI_Data[[#This Row],[Date]]&gt;=DATE(2020,3,1),CPI_Data[[#This Row],[Date]]&lt;DATE(2021,3,1)),"Post-COVID",""))</f>
        <v/>
      </c>
    </row>
    <row r="190" spans="1:32" hidden="1" x14ac:dyDescent="0.25">
      <c r="A190" t="s">
        <v>34</v>
      </c>
      <c r="B190">
        <v>2018</v>
      </c>
      <c r="C190" s="1" t="s">
        <v>36</v>
      </c>
      <c r="D190" s="2">
        <f>DATE(CPI_Data[[#This Row],[Year]],MATCH(CPI_Data[[#This Row],[Month]],{"January","February","March","April","May","June","July","August","September","October","November","December"},0),1)</f>
        <v>43160</v>
      </c>
      <c r="E190">
        <v>136.19999999999999</v>
      </c>
      <c r="F190">
        <v>143.6</v>
      </c>
      <c r="G190">
        <v>138.30000000000001</v>
      </c>
      <c r="H190">
        <v>141.19999999999999</v>
      </c>
      <c r="I190">
        <v>120.7</v>
      </c>
      <c r="J190">
        <v>146.19999999999999</v>
      </c>
      <c r="K190">
        <v>134.6</v>
      </c>
      <c r="L190">
        <v>124.6</v>
      </c>
      <c r="M190">
        <v>116.1</v>
      </c>
      <c r="N190">
        <v>137.80000000000001</v>
      </c>
      <c r="O190">
        <v>129.1</v>
      </c>
      <c r="P190">
        <v>150.4</v>
      </c>
      <c r="Q190">
        <v>137.19999999999999</v>
      </c>
      <c r="R190">
        <v>156.30000000000001</v>
      </c>
      <c r="S190">
        <v>144.30000000000001</v>
      </c>
      <c r="T190">
        <v>136.19999999999999</v>
      </c>
      <c r="U190">
        <v>143.1</v>
      </c>
      <c r="V190">
        <v>142</v>
      </c>
      <c r="W190">
        <v>136.5</v>
      </c>
      <c r="X190">
        <v>135.6</v>
      </c>
      <c r="Y190">
        <v>134.30000000000001</v>
      </c>
      <c r="Z190">
        <v>121</v>
      </c>
      <c r="AA190">
        <v>130.4</v>
      </c>
      <c r="AB190">
        <v>139.80000000000001</v>
      </c>
      <c r="AC190">
        <v>128.19999999999999</v>
      </c>
      <c r="AD190">
        <v>130.30000000000001</v>
      </c>
      <c r="AE190">
        <v>136.5</v>
      </c>
      <c r="AF190" t="str">
        <f>IF(AND(CPI_Data[[#This Row],[Date]]&gt;=DATE(2019,3,1),CPI_Data[[#This Row],[Date]]&lt;DATE(2020,3,1)),"Pre-COVID",IF(AND(CPI_Data[[#This Row],[Date]]&gt;=DATE(2020,3,1),CPI_Data[[#This Row],[Date]]&lt;DATE(2021,3,1)),"Post-COVID",""))</f>
        <v/>
      </c>
    </row>
    <row r="191" spans="1:32" hidden="1" x14ac:dyDescent="0.25">
      <c r="A191" t="s">
        <v>30</v>
      </c>
      <c r="B191">
        <v>2018</v>
      </c>
      <c r="C191" s="1" t="s">
        <v>37</v>
      </c>
      <c r="D191" s="2">
        <f>DATE(CPI_Data[[#This Row],[Year]],MATCH(CPI_Data[[#This Row],[Month]],{"January","February","March","April","May","June","July","August","September","October","November","December"},0),1)</f>
        <v>43191</v>
      </c>
      <c r="E191">
        <v>137.1</v>
      </c>
      <c r="F191">
        <v>144.5</v>
      </c>
      <c r="G191">
        <v>135.9</v>
      </c>
      <c r="H191">
        <v>142.4</v>
      </c>
      <c r="I191">
        <v>123.5</v>
      </c>
      <c r="J191">
        <v>156.4</v>
      </c>
      <c r="K191">
        <v>135.1</v>
      </c>
      <c r="L191">
        <v>128.4</v>
      </c>
      <c r="M191">
        <v>115.2</v>
      </c>
      <c r="N191">
        <v>137.19999999999999</v>
      </c>
      <c r="O191">
        <v>131.9</v>
      </c>
      <c r="P191">
        <v>153.80000000000001</v>
      </c>
      <c r="Q191">
        <v>138.6</v>
      </c>
      <c r="R191">
        <v>156.1</v>
      </c>
      <c r="S191">
        <v>150.1</v>
      </c>
      <c r="T191">
        <v>143.30000000000001</v>
      </c>
      <c r="U191">
        <v>149.1</v>
      </c>
      <c r="V191" t="s">
        <v>32</v>
      </c>
      <c r="W191">
        <v>143.80000000000001</v>
      </c>
      <c r="X191">
        <v>140.9</v>
      </c>
      <c r="Y191">
        <v>137.6</v>
      </c>
      <c r="Z191">
        <v>125.3</v>
      </c>
      <c r="AA191">
        <v>136</v>
      </c>
      <c r="AB191">
        <v>143.69999999999999</v>
      </c>
      <c r="AC191">
        <v>130.4</v>
      </c>
      <c r="AD191">
        <v>134.19999999999999</v>
      </c>
      <c r="AE191">
        <v>139.1</v>
      </c>
      <c r="AF191" t="str">
        <f>IF(AND(CPI_Data[[#This Row],[Date]]&gt;=DATE(2019,3,1),CPI_Data[[#This Row],[Date]]&lt;DATE(2020,3,1)),"Pre-COVID",IF(AND(CPI_Data[[#This Row],[Date]]&gt;=DATE(2020,3,1),CPI_Data[[#This Row],[Date]]&lt;DATE(2021,3,1)),"Post-COVID",""))</f>
        <v/>
      </c>
    </row>
    <row r="192" spans="1:32" hidden="1" x14ac:dyDescent="0.25">
      <c r="A192" t="s">
        <v>33</v>
      </c>
      <c r="B192">
        <v>2018</v>
      </c>
      <c r="C192" s="1" t="s">
        <v>37</v>
      </c>
      <c r="D192" s="2">
        <f>DATE(CPI_Data[[#This Row],[Year]],MATCH(CPI_Data[[#This Row],[Month]],{"January","February","March","April","May","June","July","August","September","October","November","December"},0),1)</f>
        <v>43191</v>
      </c>
      <c r="E192">
        <v>135</v>
      </c>
      <c r="F192">
        <v>144.30000000000001</v>
      </c>
      <c r="G192">
        <v>130.80000000000001</v>
      </c>
      <c r="H192">
        <v>140.30000000000001</v>
      </c>
      <c r="I192">
        <v>116.6</v>
      </c>
      <c r="J192">
        <v>150.1</v>
      </c>
      <c r="K192">
        <v>127.6</v>
      </c>
      <c r="L192">
        <v>114</v>
      </c>
      <c r="M192">
        <v>110.6</v>
      </c>
      <c r="N192">
        <v>140.19999999999999</v>
      </c>
      <c r="O192">
        <v>126.5</v>
      </c>
      <c r="P192">
        <v>148.30000000000001</v>
      </c>
      <c r="Q192">
        <v>135.69999999999999</v>
      </c>
      <c r="R192">
        <v>159.19999999999999</v>
      </c>
      <c r="S192">
        <v>137.80000000000001</v>
      </c>
      <c r="T192">
        <v>127.4</v>
      </c>
      <c r="U192">
        <v>136.19999999999999</v>
      </c>
      <c r="V192">
        <v>142.9</v>
      </c>
      <c r="W192">
        <v>124.6</v>
      </c>
      <c r="X192">
        <v>131.80000000000001</v>
      </c>
      <c r="Y192">
        <v>131.30000000000001</v>
      </c>
      <c r="Z192">
        <v>118.9</v>
      </c>
      <c r="AA192">
        <v>127.6</v>
      </c>
      <c r="AB192">
        <v>139.69999999999999</v>
      </c>
      <c r="AC192">
        <v>127.6</v>
      </c>
      <c r="AD192">
        <v>128.19999999999999</v>
      </c>
      <c r="AE192">
        <v>134.80000000000001</v>
      </c>
      <c r="AF192" t="str">
        <f>IF(AND(CPI_Data[[#This Row],[Date]]&gt;=DATE(2019,3,1),CPI_Data[[#This Row],[Date]]&lt;DATE(2020,3,1)),"Pre-COVID",IF(AND(CPI_Data[[#This Row],[Date]]&gt;=DATE(2020,3,1),CPI_Data[[#This Row],[Date]]&lt;DATE(2021,3,1)),"Post-COVID",""))</f>
        <v/>
      </c>
    </row>
    <row r="193" spans="1:32" hidden="1" x14ac:dyDescent="0.25">
      <c r="A193" t="s">
        <v>34</v>
      </c>
      <c r="B193">
        <v>2018</v>
      </c>
      <c r="C193" s="1" t="s">
        <v>37</v>
      </c>
      <c r="D193" s="2">
        <f>DATE(CPI_Data[[#This Row],[Year]],MATCH(CPI_Data[[#This Row],[Month]],{"January","February","March","April","May","June","July","August","September","October","November","December"},0),1)</f>
        <v>43191</v>
      </c>
      <c r="E193">
        <v>136.4</v>
      </c>
      <c r="F193">
        <v>144.4</v>
      </c>
      <c r="G193">
        <v>133.9</v>
      </c>
      <c r="H193">
        <v>141.6</v>
      </c>
      <c r="I193">
        <v>121</v>
      </c>
      <c r="J193">
        <v>153.5</v>
      </c>
      <c r="K193">
        <v>132.6</v>
      </c>
      <c r="L193">
        <v>123.5</v>
      </c>
      <c r="M193">
        <v>113.7</v>
      </c>
      <c r="N193">
        <v>138.19999999999999</v>
      </c>
      <c r="O193">
        <v>129.6</v>
      </c>
      <c r="P193">
        <v>151.19999999999999</v>
      </c>
      <c r="Q193">
        <v>137.5</v>
      </c>
      <c r="R193">
        <v>156.9</v>
      </c>
      <c r="S193">
        <v>145.30000000000001</v>
      </c>
      <c r="T193">
        <v>136.69999999999999</v>
      </c>
      <c r="U193">
        <v>144</v>
      </c>
      <c r="V193">
        <v>142.9</v>
      </c>
      <c r="W193">
        <v>136.5</v>
      </c>
      <c r="X193">
        <v>136.6</v>
      </c>
      <c r="Y193">
        <v>135.19999999999999</v>
      </c>
      <c r="Z193">
        <v>121.9</v>
      </c>
      <c r="AA193">
        <v>131.30000000000001</v>
      </c>
      <c r="AB193">
        <v>141.4</v>
      </c>
      <c r="AC193">
        <v>129.19999999999999</v>
      </c>
      <c r="AD193">
        <v>131.30000000000001</v>
      </c>
      <c r="AE193">
        <v>137.1</v>
      </c>
      <c r="AF193" t="str">
        <f>IF(AND(CPI_Data[[#This Row],[Date]]&gt;=DATE(2019,3,1),CPI_Data[[#This Row],[Date]]&lt;DATE(2020,3,1)),"Pre-COVID",IF(AND(CPI_Data[[#This Row],[Date]]&gt;=DATE(2020,3,1),CPI_Data[[#This Row],[Date]]&lt;DATE(2021,3,1)),"Post-COVID",""))</f>
        <v/>
      </c>
    </row>
    <row r="194" spans="1:32" hidden="1" x14ac:dyDescent="0.25">
      <c r="A194" t="s">
        <v>30</v>
      </c>
      <c r="B194">
        <v>2018</v>
      </c>
      <c r="C194" s="1" t="s">
        <v>38</v>
      </c>
      <c r="D194" s="2">
        <f>DATE(CPI_Data[[#This Row],[Year]],MATCH(CPI_Data[[#This Row],[Month]],{"January","February","March","April","May","June","July","August","September","October","November","December"},0),1)</f>
        <v>43221</v>
      </c>
      <c r="E194">
        <v>137.4</v>
      </c>
      <c r="F194">
        <v>145.69999999999999</v>
      </c>
      <c r="G194">
        <v>135.5</v>
      </c>
      <c r="H194">
        <v>142.9</v>
      </c>
      <c r="I194">
        <v>123.6</v>
      </c>
      <c r="J194">
        <v>157.5</v>
      </c>
      <c r="K194">
        <v>137.80000000000001</v>
      </c>
      <c r="L194">
        <v>127.2</v>
      </c>
      <c r="M194">
        <v>111.8</v>
      </c>
      <c r="N194">
        <v>137.4</v>
      </c>
      <c r="O194">
        <v>132.19999999999999</v>
      </c>
      <c r="P194">
        <v>154.30000000000001</v>
      </c>
      <c r="Q194">
        <v>139.1</v>
      </c>
      <c r="R194">
        <v>157</v>
      </c>
      <c r="S194">
        <v>150.80000000000001</v>
      </c>
      <c r="T194">
        <v>144.1</v>
      </c>
      <c r="U194">
        <v>149.80000000000001</v>
      </c>
      <c r="V194" t="s">
        <v>32</v>
      </c>
      <c r="W194">
        <v>144.30000000000001</v>
      </c>
      <c r="X194">
        <v>141.80000000000001</v>
      </c>
      <c r="Y194">
        <v>138.4</v>
      </c>
      <c r="Z194">
        <v>126.4</v>
      </c>
      <c r="AA194">
        <v>136.80000000000001</v>
      </c>
      <c r="AB194">
        <v>144.4</v>
      </c>
      <c r="AC194">
        <v>131.19999999999999</v>
      </c>
      <c r="AD194">
        <v>135.1</v>
      </c>
      <c r="AE194">
        <v>139.80000000000001</v>
      </c>
      <c r="AF194" t="str">
        <f>IF(AND(CPI_Data[[#This Row],[Date]]&gt;=DATE(2019,3,1),CPI_Data[[#This Row],[Date]]&lt;DATE(2020,3,1)),"Pre-COVID",IF(AND(CPI_Data[[#This Row],[Date]]&gt;=DATE(2020,3,1),CPI_Data[[#This Row],[Date]]&lt;DATE(2021,3,1)),"Post-COVID",""))</f>
        <v/>
      </c>
    </row>
    <row r="195" spans="1:32" hidden="1" x14ac:dyDescent="0.25">
      <c r="A195" t="s">
        <v>33</v>
      </c>
      <c r="B195">
        <v>2018</v>
      </c>
      <c r="C195" s="1" t="s">
        <v>38</v>
      </c>
      <c r="D195" s="2">
        <f>DATE(CPI_Data[[#This Row],[Year]],MATCH(CPI_Data[[#This Row],[Month]],{"January","February","March","April","May","June","July","August","September","October","November","December"},0),1)</f>
        <v>43221</v>
      </c>
      <c r="E195">
        <v>135</v>
      </c>
      <c r="F195">
        <v>148.19999999999999</v>
      </c>
      <c r="G195">
        <v>130.5</v>
      </c>
      <c r="H195">
        <v>140.69999999999999</v>
      </c>
      <c r="I195">
        <v>116.4</v>
      </c>
      <c r="J195">
        <v>151.30000000000001</v>
      </c>
      <c r="K195">
        <v>131.4</v>
      </c>
      <c r="L195">
        <v>112.8</v>
      </c>
      <c r="M195">
        <v>105.3</v>
      </c>
      <c r="N195">
        <v>139.6</v>
      </c>
      <c r="O195">
        <v>126.6</v>
      </c>
      <c r="P195">
        <v>148.69999999999999</v>
      </c>
      <c r="Q195">
        <v>136.4</v>
      </c>
      <c r="R195">
        <v>160.30000000000001</v>
      </c>
      <c r="S195">
        <v>138.6</v>
      </c>
      <c r="T195">
        <v>127.9</v>
      </c>
      <c r="U195">
        <v>137</v>
      </c>
      <c r="V195">
        <v>143.19999999999999</v>
      </c>
      <c r="W195">
        <v>124.7</v>
      </c>
      <c r="X195">
        <v>132.5</v>
      </c>
      <c r="Y195">
        <v>132</v>
      </c>
      <c r="Z195">
        <v>119.8</v>
      </c>
      <c r="AA195">
        <v>128</v>
      </c>
      <c r="AB195">
        <v>140.4</v>
      </c>
      <c r="AC195">
        <v>128.1</v>
      </c>
      <c r="AD195">
        <v>128.9</v>
      </c>
      <c r="AE195">
        <v>135.4</v>
      </c>
      <c r="AF195" t="str">
        <f>IF(AND(CPI_Data[[#This Row],[Date]]&gt;=DATE(2019,3,1),CPI_Data[[#This Row],[Date]]&lt;DATE(2020,3,1)),"Pre-COVID",IF(AND(CPI_Data[[#This Row],[Date]]&gt;=DATE(2020,3,1),CPI_Data[[#This Row],[Date]]&lt;DATE(2021,3,1)),"Post-COVID",""))</f>
        <v/>
      </c>
    </row>
    <row r="196" spans="1:32" hidden="1" x14ac:dyDescent="0.25">
      <c r="A196" t="s">
        <v>34</v>
      </c>
      <c r="B196">
        <v>2018</v>
      </c>
      <c r="C196" s="1" t="s">
        <v>38</v>
      </c>
      <c r="D196" s="2">
        <f>DATE(CPI_Data[[#This Row],[Year]],MATCH(CPI_Data[[#This Row],[Month]],{"January","February","March","April","May","June","July","August","September","October","November","December"},0),1)</f>
        <v>43221</v>
      </c>
      <c r="E196">
        <v>136.6</v>
      </c>
      <c r="F196">
        <v>146.6</v>
      </c>
      <c r="G196">
        <v>133.6</v>
      </c>
      <c r="H196">
        <v>142.1</v>
      </c>
      <c r="I196">
        <v>121</v>
      </c>
      <c r="J196">
        <v>154.6</v>
      </c>
      <c r="K196">
        <v>135.6</v>
      </c>
      <c r="L196">
        <v>122.3</v>
      </c>
      <c r="M196">
        <v>109.6</v>
      </c>
      <c r="N196">
        <v>138.1</v>
      </c>
      <c r="O196">
        <v>129.9</v>
      </c>
      <c r="P196">
        <v>151.69999999999999</v>
      </c>
      <c r="Q196">
        <v>138.1</v>
      </c>
      <c r="R196">
        <v>157.9</v>
      </c>
      <c r="S196">
        <v>146</v>
      </c>
      <c r="T196">
        <v>137.4</v>
      </c>
      <c r="U196">
        <v>144.69999999999999</v>
      </c>
      <c r="V196">
        <v>143.19999999999999</v>
      </c>
      <c r="W196">
        <v>136.9</v>
      </c>
      <c r="X196">
        <v>137.4</v>
      </c>
      <c r="Y196">
        <v>136</v>
      </c>
      <c r="Z196">
        <v>122.9</v>
      </c>
      <c r="AA196">
        <v>131.80000000000001</v>
      </c>
      <c r="AB196">
        <v>142.1</v>
      </c>
      <c r="AC196">
        <v>129.9</v>
      </c>
      <c r="AD196">
        <v>132.1</v>
      </c>
      <c r="AE196">
        <v>137.80000000000001</v>
      </c>
      <c r="AF196" t="str">
        <f>IF(AND(CPI_Data[[#This Row],[Date]]&gt;=DATE(2019,3,1),CPI_Data[[#This Row],[Date]]&lt;DATE(2020,3,1)),"Pre-COVID",IF(AND(CPI_Data[[#This Row],[Date]]&gt;=DATE(2020,3,1),CPI_Data[[#This Row],[Date]]&lt;DATE(2021,3,1)),"Post-COVID",""))</f>
        <v/>
      </c>
    </row>
    <row r="197" spans="1:32" hidden="1" x14ac:dyDescent="0.25">
      <c r="A197" t="s">
        <v>30</v>
      </c>
      <c r="B197">
        <v>2018</v>
      </c>
      <c r="C197" s="1" t="s">
        <v>39</v>
      </c>
      <c r="D197" s="2">
        <f>DATE(CPI_Data[[#This Row],[Year]],MATCH(CPI_Data[[#This Row],[Month]],{"January","February","March","April","May","June","July","August","September","October","November","December"},0),1)</f>
        <v>43252</v>
      </c>
      <c r="E197">
        <v>137.6</v>
      </c>
      <c r="F197">
        <v>148.1</v>
      </c>
      <c r="G197">
        <v>136.69999999999999</v>
      </c>
      <c r="H197">
        <v>143.19999999999999</v>
      </c>
      <c r="I197">
        <v>124</v>
      </c>
      <c r="J197">
        <v>154.1</v>
      </c>
      <c r="K197">
        <v>143.5</v>
      </c>
      <c r="L197">
        <v>126</v>
      </c>
      <c r="M197">
        <v>112.4</v>
      </c>
      <c r="N197">
        <v>137.6</v>
      </c>
      <c r="O197">
        <v>132.80000000000001</v>
      </c>
      <c r="P197">
        <v>154.30000000000001</v>
      </c>
      <c r="Q197">
        <v>140</v>
      </c>
      <c r="R197">
        <v>157.30000000000001</v>
      </c>
      <c r="S197">
        <v>151.30000000000001</v>
      </c>
      <c r="T197">
        <v>144.69999999999999</v>
      </c>
      <c r="U197">
        <v>150.30000000000001</v>
      </c>
      <c r="V197" t="s">
        <v>32</v>
      </c>
      <c r="W197">
        <v>145.1</v>
      </c>
      <c r="X197">
        <v>142.19999999999999</v>
      </c>
      <c r="Y197">
        <v>138.4</v>
      </c>
      <c r="Z197">
        <v>127.4</v>
      </c>
      <c r="AA197">
        <v>137.80000000000001</v>
      </c>
      <c r="AB197">
        <v>145.1</v>
      </c>
      <c r="AC197">
        <v>131.4</v>
      </c>
      <c r="AD197">
        <v>135.6</v>
      </c>
      <c r="AE197">
        <v>140.5</v>
      </c>
      <c r="AF197" t="str">
        <f>IF(AND(CPI_Data[[#This Row],[Date]]&gt;=DATE(2019,3,1),CPI_Data[[#This Row],[Date]]&lt;DATE(2020,3,1)),"Pre-COVID",IF(AND(CPI_Data[[#This Row],[Date]]&gt;=DATE(2020,3,1),CPI_Data[[#This Row],[Date]]&lt;DATE(2021,3,1)),"Post-COVID",""))</f>
        <v/>
      </c>
    </row>
    <row r="198" spans="1:32" hidden="1" x14ac:dyDescent="0.25">
      <c r="A198" t="s">
        <v>33</v>
      </c>
      <c r="B198">
        <v>2018</v>
      </c>
      <c r="C198" s="1" t="s">
        <v>39</v>
      </c>
      <c r="D198" s="2">
        <f>DATE(CPI_Data[[#This Row],[Year]],MATCH(CPI_Data[[#This Row],[Month]],{"January","February","March","April","May","June","July","August","September","October","November","December"},0),1)</f>
        <v>43252</v>
      </c>
      <c r="E198">
        <v>135.30000000000001</v>
      </c>
      <c r="F198">
        <v>149.69999999999999</v>
      </c>
      <c r="G198">
        <v>133.9</v>
      </c>
      <c r="H198">
        <v>140.80000000000001</v>
      </c>
      <c r="I198">
        <v>116.6</v>
      </c>
      <c r="J198">
        <v>152.19999999999999</v>
      </c>
      <c r="K198">
        <v>144</v>
      </c>
      <c r="L198">
        <v>112.3</v>
      </c>
      <c r="M198">
        <v>108.4</v>
      </c>
      <c r="N198">
        <v>140</v>
      </c>
      <c r="O198">
        <v>126.7</v>
      </c>
      <c r="P198">
        <v>149</v>
      </c>
      <c r="Q198">
        <v>138.4</v>
      </c>
      <c r="R198">
        <v>161</v>
      </c>
      <c r="S198">
        <v>138.9</v>
      </c>
      <c r="T198">
        <v>128.69999999999999</v>
      </c>
      <c r="U198">
        <v>137.4</v>
      </c>
      <c r="V198">
        <v>142.5</v>
      </c>
      <c r="W198">
        <v>126.5</v>
      </c>
      <c r="X198">
        <v>133.1</v>
      </c>
      <c r="Y198">
        <v>132.6</v>
      </c>
      <c r="Z198">
        <v>120.4</v>
      </c>
      <c r="AA198">
        <v>128.5</v>
      </c>
      <c r="AB198">
        <v>141.19999999999999</v>
      </c>
      <c r="AC198">
        <v>128.19999999999999</v>
      </c>
      <c r="AD198">
        <v>129.5</v>
      </c>
      <c r="AE198">
        <v>136.19999999999999</v>
      </c>
      <c r="AF198" t="str">
        <f>IF(AND(CPI_Data[[#This Row],[Date]]&gt;=DATE(2019,3,1),CPI_Data[[#This Row],[Date]]&lt;DATE(2020,3,1)),"Pre-COVID",IF(AND(CPI_Data[[#This Row],[Date]]&gt;=DATE(2020,3,1),CPI_Data[[#This Row],[Date]]&lt;DATE(2021,3,1)),"Post-COVID",""))</f>
        <v/>
      </c>
    </row>
    <row r="199" spans="1:32" hidden="1" x14ac:dyDescent="0.25">
      <c r="A199" t="s">
        <v>34</v>
      </c>
      <c r="B199">
        <v>2018</v>
      </c>
      <c r="C199" s="1" t="s">
        <v>39</v>
      </c>
      <c r="D199" s="2">
        <f>DATE(CPI_Data[[#This Row],[Year]],MATCH(CPI_Data[[#This Row],[Month]],{"January","February","March","April","May","June","July","August","September","October","November","December"},0),1)</f>
        <v>43252</v>
      </c>
      <c r="E199">
        <v>136.9</v>
      </c>
      <c r="F199">
        <v>148.69999999999999</v>
      </c>
      <c r="G199">
        <v>135.6</v>
      </c>
      <c r="H199">
        <v>142.30000000000001</v>
      </c>
      <c r="I199">
        <v>121.3</v>
      </c>
      <c r="J199">
        <v>153.19999999999999</v>
      </c>
      <c r="K199">
        <v>143.69999999999999</v>
      </c>
      <c r="L199">
        <v>121.4</v>
      </c>
      <c r="M199">
        <v>111.1</v>
      </c>
      <c r="N199">
        <v>138.4</v>
      </c>
      <c r="O199">
        <v>130.30000000000001</v>
      </c>
      <c r="P199">
        <v>151.80000000000001</v>
      </c>
      <c r="Q199">
        <v>139.4</v>
      </c>
      <c r="R199">
        <v>158.30000000000001</v>
      </c>
      <c r="S199">
        <v>146.4</v>
      </c>
      <c r="T199">
        <v>138.1</v>
      </c>
      <c r="U199">
        <v>145.19999999999999</v>
      </c>
      <c r="V199">
        <v>142.5</v>
      </c>
      <c r="W199">
        <v>138.1</v>
      </c>
      <c r="X199">
        <v>137.9</v>
      </c>
      <c r="Y199">
        <v>136.19999999999999</v>
      </c>
      <c r="Z199">
        <v>123.7</v>
      </c>
      <c r="AA199">
        <v>132.6</v>
      </c>
      <c r="AB199">
        <v>142.80000000000001</v>
      </c>
      <c r="AC199">
        <v>130.1</v>
      </c>
      <c r="AD199">
        <v>132.6</v>
      </c>
      <c r="AE199">
        <v>138.5</v>
      </c>
      <c r="AF199" t="str">
        <f>IF(AND(CPI_Data[[#This Row],[Date]]&gt;=DATE(2019,3,1),CPI_Data[[#This Row],[Date]]&lt;DATE(2020,3,1)),"Pre-COVID",IF(AND(CPI_Data[[#This Row],[Date]]&gt;=DATE(2020,3,1),CPI_Data[[#This Row],[Date]]&lt;DATE(2021,3,1)),"Post-COVID",""))</f>
        <v/>
      </c>
    </row>
    <row r="200" spans="1:32" hidden="1" x14ac:dyDescent="0.25">
      <c r="A200" t="s">
        <v>30</v>
      </c>
      <c r="B200">
        <v>2018</v>
      </c>
      <c r="C200" s="1" t="s">
        <v>40</v>
      </c>
      <c r="D200" s="2">
        <f>DATE(CPI_Data[[#This Row],[Year]],MATCH(CPI_Data[[#This Row],[Month]],{"January","February","March","April","May","June","July","August","September","October","November","December"},0),1)</f>
        <v>43282</v>
      </c>
      <c r="E200">
        <v>138.4</v>
      </c>
      <c r="F200">
        <v>149.30000000000001</v>
      </c>
      <c r="G200">
        <v>139.30000000000001</v>
      </c>
      <c r="H200">
        <v>143.4</v>
      </c>
      <c r="I200">
        <v>124.1</v>
      </c>
      <c r="J200">
        <v>153.30000000000001</v>
      </c>
      <c r="K200">
        <v>154.19999999999999</v>
      </c>
      <c r="L200">
        <v>126.4</v>
      </c>
      <c r="M200">
        <v>114.3</v>
      </c>
      <c r="N200">
        <v>138.19999999999999</v>
      </c>
      <c r="O200">
        <v>132.80000000000001</v>
      </c>
      <c r="P200">
        <v>154.80000000000001</v>
      </c>
      <c r="Q200">
        <v>142</v>
      </c>
      <c r="R200">
        <v>156.1</v>
      </c>
      <c r="S200">
        <v>151.5</v>
      </c>
      <c r="T200">
        <v>145.1</v>
      </c>
      <c r="U200">
        <v>150.6</v>
      </c>
      <c r="V200" t="s">
        <v>32</v>
      </c>
      <c r="W200">
        <v>146.80000000000001</v>
      </c>
      <c r="X200">
        <v>143.1</v>
      </c>
      <c r="Y200">
        <v>139</v>
      </c>
      <c r="Z200">
        <v>127.5</v>
      </c>
      <c r="AA200">
        <v>138.4</v>
      </c>
      <c r="AB200">
        <v>145.80000000000001</v>
      </c>
      <c r="AC200">
        <v>131.4</v>
      </c>
      <c r="AD200">
        <v>136</v>
      </c>
      <c r="AE200">
        <v>141.80000000000001</v>
      </c>
      <c r="AF200" t="str">
        <f>IF(AND(CPI_Data[[#This Row],[Date]]&gt;=DATE(2019,3,1),CPI_Data[[#This Row],[Date]]&lt;DATE(2020,3,1)),"Pre-COVID",IF(AND(CPI_Data[[#This Row],[Date]]&gt;=DATE(2020,3,1),CPI_Data[[#This Row],[Date]]&lt;DATE(2021,3,1)),"Post-COVID",""))</f>
        <v/>
      </c>
    </row>
    <row r="201" spans="1:32" hidden="1" x14ac:dyDescent="0.25">
      <c r="A201" t="s">
        <v>33</v>
      </c>
      <c r="B201">
        <v>2018</v>
      </c>
      <c r="C201" s="1" t="s">
        <v>40</v>
      </c>
      <c r="D201" s="2">
        <f>DATE(CPI_Data[[#This Row],[Year]],MATCH(CPI_Data[[#This Row],[Month]],{"January","February","March","April","May","June","July","August","September","October","November","December"},0),1)</f>
        <v>43282</v>
      </c>
      <c r="E201">
        <v>135.6</v>
      </c>
      <c r="F201">
        <v>148.6</v>
      </c>
      <c r="G201">
        <v>139.1</v>
      </c>
      <c r="H201">
        <v>141</v>
      </c>
      <c r="I201">
        <v>116.7</v>
      </c>
      <c r="J201">
        <v>149.69999999999999</v>
      </c>
      <c r="K201">
        <v>159.19999999999999</v>
      </c>
      <c r="L201">
        <v>112.6</v>
      </c>
      <c r="M201">
        <v>111.8</v>
      </c>
      <c r="N201">
        <v>140.30000000000001</v>
      </c>
      <c r="O201">
        <v>126.8</v>
      </c>
      <c r="P201">
        <v>149.4</v>
      </c>
      <c r="Q201">
        <v>140.30000000000001</v>
      </c>
      <c r="R201">
        <v>161.4</v>
      </c>
      <c r="S201">
        <v>139.6</v>
      </c>
      <c r="T201">
        <v>128.9</v>
      </c>
      <c r="U201">
        <v>137.9</v>
      </c>
      <c r="V201">
        <v>143.6</v>
      </c>
      <c r="W201">
        <v>128.1</v>
      </c>
      <c r="X201">
        <v>133.6</v>
      </c>
      <c r="Y201">
        <v>133.6</v>
      </c>
      <c r="Z201">
        <v>120.1</v>
      </c>
      <c r="AA201">
        <v>129</v>
      </c>
      <c r="AB201">
        <v>144</v>
      </c>
      <c r="AC201">
        <v>128.19999999999999</v>
      </c>
      <c r="AD201">
        <v>130.19999999999999</v>
      </c>
      <c r="AE201">
        <v>137.5</v>
      </c>
      <c r="AF201" t="str">
        <f>IF(AND(CPI_Data[[#This Row],[Date]]&gt;=DATE(2019,3,1),CPI_Data[[#This Row],[Date]]&lt;DATE(2020,3,1)),"Pre-COVID",IF(AND(CPI_Data[[#This Row],[Date]]&gt;=DATE(2020,3,1),CPI_Data[[#This Row],[Date]]&lt;DATE(2021,3,1)),"Post-COVID",""))</f>
        <v/>
      </c>
    </row>
    <row r="202" spans="1:32" hidden="1" x14ac:dyDescent="0.25">
      <c r="A202" t="s">
        <v>34</v>
      </c>
      <c r="B202">
        <v>2018</v>
      </c>
      <c r="C202" s="1" t="s">
        <v>40</v>
      </c>
      <c r="D202" s="2">
        <f>DATE(CPI_Data[[#This Row],[Year]],MATCH(CPI_Data[[#This Row],[Month]],{"January","February","March","April","May","June","July","August","September","October","November","December"},0),1)</f>
        <v>43282</v>
      </c>
      <c r="E202">
        <v>137.5</v>
      </c>
      <c r="F202">
        <v>149.1</v>
      </c>
      <c r="G202">
        <v>139.19999999999999</v>
      </c>
      <c r="H202">
        <v>142.5</v>
      </c>
      <c r="I202">
        <v>121.4</v>
      </c>
      <c r="J202">
        <v>151.6</v>
      </c>
      <c r="K202">
        <v>155.9</v>
      </c>
      <c r="L202">
        <v>121.7</v>
      </c>
      <c r="M202">
        <v>113.5</v>
      </c>
      <c r="N202">
        <v>138.9</v>
      </c>
      <c r="O202">
        <v>130.30000000000001</v>
      </c>
      <c r="P202">
        <v>152.30000000000001</v>
      </c>
      <c r="Q202">
        <v>141.4</v>
      </c>
      <c r="R202">
        <v>157.5</v>
      </c>
      <c r="S202">
        <v>146.80000000000001</v>
      </c>
      <c r="T202">
        <v>138.4</v>
      </c>
      <c r="U202">
        <v>145.6</v>
      </c>
      <c r="V202">
        <v>143.6</v>
      </c>
      <c r="W202">
        <v>139.69999999999999</v>
      </c>
      <c r="X202">
        <v>138.6</v>
      </c>
      <c r="Y202">
        <v>137</v>
      </c>
      <c r="Z202">
        <v>123.6</v>
      </c>
      <c r="AA202">
        <v>133.1</v>
      </c>
      <c r="AB202">
        <v>144.69999999999999</v>
      </c>
      <c r="AC202">
        <v>130.1</v>
      </c>
      <c r="AD202">
        <v>133.19999999999999</v>
      </c>
      <c r="AE202">
        <v>139.80000000000001</v>
      </c>
      <c r="AF202" t="str">
        <f>IF(AND(CPI_Data[[#This Row],[Date]]&gt;=DATE(2019,3,1),CPI_Data[[#This Row],[Date]]&lt;DATE(2020,3,1)),"Pre-COVID",IF(AND(CPI_Data[[#This Row],[Date]]&gt;=DATE(2020,3,1),CPI_Data[[#This Row],[Date]]&lt;DATE(2021,3,1)),"Post-COVID",""))</f>
        <v/>
      </c>
    </row>
    <row r="203" spans="1:32" hidden="1" x14ac:dyDescent="0.25">
      <c r="A203" t="s">
        <v>30</v>
      </c>
      <c r="B203">
        <v>2018</v>
      </c>
      <c r="C203" s="1" t="s">
        <v>41</v>
      </c>
      <c r="D203" s="2">
        <f>DATE(CPI_Data[[#This Row],[Year]],MATCH(CPI_Data[[#This Row],[Month]],{"January","February","March","April","May","June","July","August","September","October","November","December"},0),1)</f>
        <v>43313</v>
      </c>
      <c r="E203">
        <v>139.19999999999999</v>
      </c>
      <c r="F203">
        <v>148.80000000000001</v>
      </c>
      <c r="G203">
        <v>139.1</v>
      </c>
      <c r="H203">
        <v>143.5</v>
      </c>
      <c r="I203">
        <v>125</v>
      </c>
      <c r="J203">
        <v>154.4</v>
      </c>
      <c r="K203">
        <v>156.30000000000001</v>
      </c>
      <c r="L203">
        <v>126.8</v>
      </c>
      <c r="M203">
        <v>115.4</v>
      </c>
      <c r="N203">
        <v>138.6</v>
      </c>
      <c r="O203">
        <v>133.80000000000001</v>
      </c>
      <c r="P203">
        <v>155.19999999999999</v>
      </c>
      <c r="Q203">
        <v>142.69999999999999</v>
      </c>
      <c r="R203">
        <v>156.4</v>
      </c>
      <c r="S203">
        <v>152.1</v>
      </c>
      <c r="T203">
        <v>145.80000000000001</v>
      </c>
      <c r="U203">
        <v>151.30000000000001</v>
      </c>
      <c r="V203" t="s">
        <v>32</v>
      </c>
      <c r="W203">
        <v>147.69999999999999</v>
      </c>
      <c r="X203">
        <v>143.80000000000001</v>
      </c>
      <c r="Y203">
        <v>139.4</v>
      </c>
      <c r="Z203">
        <v>128.30000000000001</v>
      </c>
      <c r="AA203">
        <v>138.6</v>
      </c>
      <c r="AB203">
        <v>146.9</v>
      </c>
      <c r="AC203">
        <v>131.30000000000001</v>
      </c>
      <c r="AD203">
        <v>136.6</v>
      </c>
      <c r="AE203">
        <v>142.5</v>
      </c>
      <c r="AF203" t="str">
        <f>IF(AND(CPI_Data[[#This Row],[Date]]&gt;=DATE(2019,3,1),CPI_Data[[#This Row],[Date]]&lt;DATE(2020,3,1)),"Pre-COVID",IF(AND(CPI_Data[[#This Row],[Date]]&gt;=DATE(2020,3,1),CPI_Data[[#This Row],[Date]]&lt;DATE(2021,3,1)),"Post-COVID",""))</f>
        <v/>
      </c>
    </row>
    <row r="204" spans="1:32" hidden="1" x14ac:dyDescent="0.25">
      <c r="A204" t="s">
        <v>33</v>
      </c>
      <c r="B204">
        <v>2018</v>
      </c>
      <c r="C204" s="1" t="s">
        <v>41</v>
      </c>
      <c r="D204" s="2">
        <f>DATE(CPI_Data[[#This Row],[Year]],MATCH(CPI_Data[[#This Row],[Month]],{"January","February","March","April","May","June","July","August","September","October","November","December"},0),1)</f>
        <v>43313</v>
      </c>
      <c r="E204">
        <v>136.5</v>
      </c>
      <c r="F204">
        <v>146.4</v>
      </c>
      <c r="G204">
        <v>136.6</v>
      </c>
      <c r="H204">
        <v>141.19999999999999</v>
      </c>
      <c r="I204">
        <v>117.4</v>
      </c>
      <c r="J204">
        <v>146.30000000000001</v>
      </c>
      <c r="K204">
        <v>157.30000000000001</v>
      </c>
      <c r="L204">
        <v>113.6</v>
      </c>
      <c r="M204">
        <v>113.3</v>
      </c>
      <c r="N204">
        <v>141.1</v>
      </c>
      <c r="O204">
        <v>127.4</v>
      </c>
      <c r="P204">
        <v>150.4</v>
      </c>
      <c r="Q204">
        <v>140.1</v>
      </c>
      <c r="R204">
        <v>162.1</v>
      </c>
      <c r="S204">
        <v>140</v>
      </c>
      <c r="T204">
        <v>129</v>
      </c>
      <c r="U204">
        <v>138.30000000000001</v>
      </c>
      <c r="V204">
        <v>144.6</v>
      </c>
      <c r="W204">
        <v>129.80000000000001</v>
      </c>
      <c r="X204">
        <v>134.4</v>
      </c>
      <c r="Y204">
        <v>134.9</v>
      </c>
      <c r="Z204">
        <v>120.7</v>
      </c>
      <c r="AA204">
        <v>129.80000000000001</v>
      </c>
      <c r="AB204">
        <v>145.30000000000001</v>
      </c>
      <c r="AC204">
        <v>128.30000000000001</v>
      </c>
      <c r="AD204">
        <v>131</v>
      </c>
      <c r="AE204">
        <v>138</v>
      </c>
      <c r="AF204" t="str">
        <f>IF(AND(CPI_Data[[#This Row],[Date]]&gt;=DATE(2019,3,1),CPI_Data[[#This Row],[Date]]&lt;DATE(2020,3,1)),"Pre-COVID",IF(AND(CPI_Data[[#This Row],[Date]]&gt;=DATE(2020,3,1),CPI_Data[[#This Row],[Date]]&lt;DATE(2021,3,1)),"Post-COVID",""))</f>
        <v/>
      </c>
    </row>
    <row r="205" spans="1:32" hidden="1" x14ac:dyDescent="0.25">
      <c r="A205" t="s">
        <v>34</v>
      </c>
      <c r="B205">
        <v>2018</v>
      </c>
      <c r="C205" s="1" t="s">
        <v>41</v>
      </c>
      <c r="D205" s="2">
        <f>DATE(CPI_Data[[#This Row],[Year]],MATCH(CPI_Data[[#This Row],[Month]],{"January","February","March","April","May","June","July","August","September","October","November","December"},0),1)</f>
        <v>43313</v>
      </c>
      <c r="E205">
        <v>138.30000000000001</v>
      </c>
      <c r="F205">
        <v>148</v>
      </c>
      <c r="G205">
        <v>138.1</v>
      </c>
      <c r="H205">
        <v>142.6</v>
      </c>
      <c r="I205">
        <v>122.2</v>
      </c>
      <c r="J205">
        <v>150.6</v>
      </c>
      <c r="K205">
        <v>156.6</v>
      </c>
      <c r="L205">
        <v>122.4</v>
      </c>
      <c r="M205">
        <v>114.7</v>
      </c>
      <c r="N205">
        <v>139.4</v>
      </c>
      <c r="O205">
        <v>131.1</v>
      </c>
      <c r="P205">
        <v>153</v>
      </c>
      <c r="Q205">
        <v>141.69999999999999</v>
      </c>
      <c r="R205">
        <v>157.9</v>
      </c>
      <c r="S205">
        <v>147.30000000000001</v>
      </c>
      <c r="T205">
        <v>138.80000000000001</v>
      </c>
      <c r="U205">
        <v>146.1</v>
      </c>
      <c r="V205">
        <v>144.6</v>
      </c>
      <c r="W205">
        <v>140.9</v>
      </c>
      <c r="X205">
        <v>139.4</v>
      </c>
      <c r="Y205">
        <v>137.69999999999999</v>
      </c>
      <c r="Z205">
        <v>124.3</v>
      </c>
      <c r="AA205">
        <v>133.6</v>
      </c>
      <c r="AB205">
        <v>146</v>
      </c>
      <c r="AC205">
        <v>130.1</v>
      </c>
      <c r="AD205">
        <v>133.9</v>
      </c>
      <c r="AE205">
        <v>140.4</v>
      </c>
      <c r="AF205" t="str">
        <f>IF(AND(CPI_Data[[#This Row],[Date]]&gt;=DATE(2019,3,1),CPI_Data[[#This Row],[Date]]&lt;DATE(2020,3,1)),"Pre-COVID",IF(AND(CPI_Data[[#This Row],[Date]]&gt;=DATE(2020,3,1),CPI_Data[[#This Row],[Date]]&lt;DATE(2021,3,1)),"Post-COVID",""))</f>
        <v/>
      </c>
    </row>
    <row r="206" spans="1:32" hidden="1" x14ac:dyDescent="0.25">
      <c r="A206" t="s">
        <v>30</v>
      </c>
      <c r="B206">
        <v>2018</v>
      </c>
      <c r="C206" s="1" t="s">
        <v>42</v>
      </c>
      <c r="D206" s="2">
        <f>DATE(CPI_Data[[#This Row],[Year]],MATCH(CPI_Data[[#This Row],[Month]],{"January","February","March","April","May","June","July","August","September","October","November","December"},0),1)</f>
        <v>43344</v>
      </c>
      <c r="E206">
        <v>139.4</v>
      </c>
      <c r="F206">
        <v>147.19999999999999</v>
      </c>
      <c r="G206">
        <v>136.6</v>
      </c>
      <c r="H206">
        <v>143.69999999999999</v>
      </c>
      <c r="I206">
        <v>124.6</v>
      </c>
      <c r="J206">
        <v>150.1</v>
      </c>
      <c r="K206">
        <v>149.4</v>
      </c>
      <c r="L206">
        <v>125.4</v>
      </c>
      <c r="M206">
        <v>114.4</v>
      </c>
      <c r="N206">
        <v>138.69999999999999</v>
      </c>
      <c r="O206">
        <v>133.1</v>
      </c>
      <c r="P206">
        <v>155.9</v>
      </c>
      <c r="Q206">
        <v>141.30000000000001</v>
      </c>
      <c r="R206">
        <v>157.69999999999999</v>
      </c>
      <c r="S206">
        <v>152.1</v>
      </c>
      <c r="T206">
        <v>146.1</v>
      </c>
      <c r="U206">
        <v>151.30000000000001</v>
      </c>
      <c r="V206" t="s">
        <v>32</v>
      </c>
      <c r="W206">
        <v>149</v>
      </c>
      <c r="X206">
        <v>144</v>
      </c>
      <c r="Y206">
        <v>140</v>
      </c>
      <c r="Z206">
        <v>129.9</v>
      </c>
      <c r="AA206">
        <v>140</v>
      </c>
      <c r="AB206">
        <v>147.6</v>
      </c>
      <c r="AC206">
        <v>132</v>
      </c>
      <c r="AD206">
        <v>137.4</v>
      </c>
      <c r="AE206">
        <v>142.1</v>
      </c>
      <c r="AF206" t="str">
        <f>IF(AND(CPI_Data[[#This Row],[Date]]&gt;=DATE(2019,3,1),CPI_Data[[#This Row],[Date]]&lt;DATE(2020,3,1)),"Pre-COVID",IF(AND(CPI_Data[[#This Row],[Date]]&gt;=DATE(2020,3,1),CPI_Data[[#This Row],[Date]]&lt;DATE(2021,3,1)),"Post-COVID",""))</f>
        <v/>
      </c>
    </row>
    <row r="207" spans="1:32" hidden="1" x14ac:dyDescent="0.25">
      <c r="A207" t="s">
        <v>33</v>
      </c>
      <c r="B207">
        <v>2018</v>
      </c>
      <c r="C207" s="1" t="s">
        <v>42</v>
      </c>
      <c r="D207" s="2">
        <f>DATE(CPI_Data[[#This Row],[Year]],MATCH(CPI_Data[[#This Row],[Month]],{"January","February","March","April","May","June","July","August","September","October","November","December"},0),1)</f>
        <v>43344</v>
      </c>
      <c r="E207">
        <v>137</v>
      </c>
      <c r="F207">
        <v>143.1</v>
      </c>
      <c r="G207">
        <v>132.80000000000001</v>
      </c>
      <c r="H207">
        <v>141.5</v>
      </c>
      <c r="I207">
        <v>117.8</v>
      </c>
      <c r="J207">
        <v>140</v>
      </c>
      <c r="K207">
        <v>151.30000000000001</v>
      </c>
      <c r="L207">
        <v>113.5</v>
      </c>
      <c r="M207">
        <v>112.3</v>
      </c>
      <c r="N207">
        <v>141.19999999999999</v>
      </c>
      <c r="O207">
        <v>127.7</v>
      </c>
      <c r="P207">
        <v>151.30000000000001</v>
      </c>
      <c r="Q207">
        <v>138.9</v>
      </c>
      <c r="R207">
        <v>163.30000000000001</v>
      </c>
      <c r="S207">
        <v>140.80000000000001</v>
      </c>
      <c r="T207">
        <v>129.30000000000001</v>
      </c>
      <c r="U207">
        <v>139.1</v>
      </c>
      <c r="V207">
        <v>145.30000000000001</v>
      </c>
      <c r="W207">
        <v>131.19999999999999</v>
      </c>
      <c r="X207">
        <v>134.9</v>
      </c>
      <c r="Y207">
        <v>135.69999999999999</v>
      </c>
      <c r="Z207">
        <v>122.5</v>
      </c>
      <c r="AA207">
        <v>130.19999999999999</v>
      </c>
      <c r="AB207">
        <v>145.19999999999999</v>
      </c>
      <c r="AC207">
        <v>129.30000000000001</v>
      </c>
      <c r="AD207">
        <v>131.9</v>
      </c>
      <c r="AE207">
        <v>138.1</v>
      </c>
      <c r="AF207" t="str">
        <f>IF(AND(CPI_Data[[#This Row],[Date]]&gt;=DATE(2019,3,1),CPI_Data[[#This Row],[Date]]&lt;DATE(2020,3,1)),"Pre-COVID",IF(AND(CPI_Data[[#This Row],[Date]]&gt;=DATE(2020,3,1),CPI_Data[[#This Row],[Date]]&lt;DATE(2021,3,1)),"Post-COVID",""))</f>
        <v/>
      </c>
    </row>
    <row r="208" spans="1:32" hidden="1" x14ac:dyDescent="0.25">
      <c r="A208" t="s">
        <v>34</v>
      </c>
      <c r="B208">
        <v>2018</v>
      </c>
      <c r="C208" s="1" t="s">
        <v>42</v>
      </c>
      <c r="D208" s="2">
        <f>DATE(CPI_Data[[#This Row],[Year]],MATCH(CPI_Data[[#This Row],[Month]],{"January","February","March","April","May","June","July","August","September","October","November","December"},0),1)</f>
        <v>43344</v>
      </c>
      <c r="E208">
        <v>138.6</v>
      </c>
      <c r="F208">
        <v>145.80000000000001</v>
      </c>
      <c r="G208">
        <v>135.1</v>
      </c>
      <c r="H208">
        <v>142.9</v>
      </c>
      <c r="I208">
        <v>122.1</v>
      </c>
      <c r="J208">
        <v>145.4</v>
      </c>
      <c r="K208">
        <v>150</v>
      </c>
      <c r="L208">
        <v>121.4</v>
      </c>
      <c r="M208">
        <v>113.7</v>
      </c>
      <c r="N208">
        <v>139.5</v>
      </c>
      <c r="O208">
        <v>130.80000000000001</v>
      </c>
      <c r="P208">
        <v>153.80000000000001</v>
      </c>
      <c r="Q208">
        <v>140.4</v>
      </c>
      <c r="R208">
        <v>159.19999999999999</v>
      </c>
      <c r="S208">
        <v>147.69999999999999</v>
      </c>
      <c r="T208">
        <v>139.1</v>
      </c>
      <c r="U208">
        <v>146.5</v>
      </c>
      <c r="V208">
        <v>145.30000000000001</v>
      </c>
      <c r="W208">
        <v>142.30000000000001</v>
      </c>
      <c r="X208">
        <v>139.69999999999999</v>
      </c>
      <c r="Y208">
        <v>138.4</v>
      </c>
      <c r="Z208">
        <v>126</v>
      </c>
      <c r="AA208">
        <v>134.5</v>
      </c>
      <c r="AB208">
        <v>146.19999999999999</v>
      </c>
      <c r="AC208">
        <v>130.9</v>
      </c>
      <c r="AD208">
        <v>134.69999999999999</v>
      </c>
      <c r="AE208">
        <v>140.19999999999999</v>
      </c>
      <c r="AF208" t="str">
        <f>IF(AND(CPI_Data[[#This Row],[Date]]&gt;=DATE(2019,3,1),CPI_Data[[#This Row],[Date]]&lt;DATE(2020,3,1)),"Pre-COVID",IF(AND(CPI_Data[[#This Row],[Date]]&gt;=DATE(2020,3,1),CPI_Data[[#This Row],[Date]]&lt;DATE(2021,3,1)),"Post-COVID",""))</f>
        <v/>
      </c>
    </row>
    <row r="209" spans="1:32" hidden="1" x14ac:dyDescent="0.25">
      <c r="A209" t="s">
        <v>30</v>
      </c>
      <c r="B209">
        <v>2018</v>
      </c>
      <c r="C209" s="1" t="s">
        <v>43</v>
      </c>
      <c r="D209" s="2">
        <f>DATE(CPI_Data[[#This Row],[Year]],MATCH(CPI_Data[[#This Row],[Month]],{"January","February","March","April","May","June","July","August","September","October","November","December"},0),1)</f>
        <v>43374</v>
      </c>
      <c r="E209">
        <v>139.30000000000001</v>
      </c>
      <c r="F209">
        <v>147.6</v>
      </c>
      <c r="G209">
        <v>134.6</v>
      </c>
      <c r="H209">
        <v>141.9</v>
      </c>
      <c r="I209">
        <v>123.5</v>
      </c>
      <c r="J209">
        <v>144.5</v>
      </c>
      <c r="K209">
        <v>147.6</v>
      </c>
      <c r="L209">
        <v>121.4</v>
      </c>
      <c r="M209">
        <v>112.3</v>
      </c>
      <c r="N209">
        <v>139.5</v>
      </c>
      <c r="O209">
        <v>134.6</v>
      </c>
      <c r="P209">
        <v>155.19999999999999</v>
      </c>
      <c r="Q209">
        <v>140.19999999999999</v>
      </c>
      <c r="R209">
        <v>159.6</v>
      </c>
      <c r="S209">
        <v>150.69999999999999</v>
      </c>
      <c r="T209">
        <v>144.5</v>
      </c>
      <c r="U209">
        <v>149.80000000000001</v>
      </c>
      <c r="V209" t="s">
        <v>32</v>
      </c>
      <c r="W209">
        <v>149.69999999999999</v>
      </c>
      <c r="X209">
        <v>147.5</v>
      </c>
      <c r="Y209">
        <v>144.80000000000001</v>
      </c>
      <c r="Z209">
        <v>130.80000000000001</v>
      </c>
      <c r="AA209">
        <v>140.1</v>
      </c>
      <c r="AB209">
        <v>148</v>
      </c>
      <c r="AC209">
        <v>134.4</v>
      </c>
      <c r="AD209">
        <v>139.80000000000001</v>
      </c>
      <c r="AE209">
        <v>142.19999999999999</v>
      </c>
      <c r="AF209" t="str">
        <f>IF(AND(CPI_Data[[#This Row],[Date]]&gt;=DATE(2019,3,1),CPI_Data[[#This Row],[Date]]&lt;DATE(2020,3,1)),"Pre-COVID",IF(AND(CPI_Data[[#This Row],[Date]]&gt;=DATE(2020,3,1),CPI_Data[[#This Row],[Date]]&lt;DATE(2021,3,1)),"Post-COVID",""))</f>
        <v/>
      </c>
    </row>
    <row r="210" spans="1:32" hidden="1" x14ac:dyDescent="0.25">
      <c r="A210" t="s">
        <v>33</v>
      </c>
      <c r="B210">
        <v>2018</v>
      </c>
      <c r="C210" s="1" t="s">
        <v>43</v>
      </c>
      <c r="D210" s="2">
        <f>DATE(CPI_Data[[#This Row],[Year]],MATCH(CPI_Data[[#This Row],[Month]],{"January","February","March","April","May","June","July","August","September","October","November","December"},0),1)</f>
        <v>43374</v>
      </c>
      <c r="E210">
        <v>137.6</v>
      </c>
      <c r="F210">
        <v>144.9</v>
      </c>
      <c r="G210">
        <v>133.5</v>
      </c>
      <c r="H210">
        <v>141.5</v>
      </c>
      <c r="I210">
        <v>118</v>
      </c>
      <c r="J210">
        <v>139.5</v>
      </c>
      <c r="K210">
        <v>153</v>
      </c>
      <c r="L210">
        <v>113.2</v>
      </c>
      <c r="M210">
        <v>112.8</v>
      </c>
      <c r="N210">
        <v>141.1</v>
      </c>
      <c r="O210">
        <v>127.6</v>
      </c>
      <c r="P210">
        <v>152</v>
      </c>
      <c r="Q210">
        <v>139.4</v>
      </c>
      <c r="R210">
        <v>164</v>
      </c>
      <c r="S210">
        <v>141.5</v>
      </c>
      <c r="T210">
        <v>129.80000000000001</v>
      </c>
      <c r="U210">
        <v>139.69999999999999</v>
      </c>
      <c r="V210">
        <v>146.30000000000001</v>
      </c>
      <c r="W210">
        <v>133.4</v>
      </c>
      <c r="X210">
        <v>135.1</v>
      </c>
      <c r="Y210">
        <v>136.19999999999999</v>
      </c>
      <c r="Z210">
        <v>123.3</v>
      </c>
      <c r="AA210">
        <v>130.69999999999999</v>
      </c>
      <c r="AB210">
        <v>145.5</v>
      </c>
      <c r="AC210">
        <v>130.4</v>
      </c>
      <c r="AD210">
        <v>132.5</v>
      </c>
      <c r="AE210">
        <v>138.9</v>
      </c>
      <c r="AF210" t="str">
        <f>IF(AND(CPI_Data[[#This Row],[Date]]&gt;=DATE(2019,3,1),CPI_Data[[#This Row],[Date]]&lt;DATE(2020,3,1)),"Pre-COVID",IF(AND(CPI_Data[[#This Row],[Date]]&gt;=DATE(2020,3,1),CPI_Data[[#This Row],[Date]]&lt;DATE(2021,3,1)),"Post-COVID",""))</f>
        <v/>
      </c>
    </row>
    <row r="211" spans="1:32" hidden="1" x14ac:dyDescent="0.25">
      <c r="A211" t="s">
        <v>34</v>
      </c>
      <c r="B211">
        <v>2018</v>
      </c>
      <c r="C211" s="1" t="s">
        <v>43</v>
      </c>
      <c r="D211" s="2">
        <f>DATE(CPI_Data[[#This Row],[Year]],MATCH(CPI_Data[[#This Row],[Month]],{"January","February","March","April","May","June","July","August","September","October","November","December"},0),1)</f>
        <v>43374</v>
      </c>
      <c r="E211">
        <v>137.4</v>
      </c>
      <c r="F211">
        <v>149.5</v>
      </c>
      <c r="G211">
        <v>137.30000000000001</v>
      </c>
      <c r="H211">
        <v>141.9</v>
      </c>
      <c r="I211">
        <v>121.1</v>
      </c>
      <c r="J211">
        <v>142.5</v>
      </c>
      <c r="K211">
        <v>146.69999999999999</v>
      </c>
      <c r="L211">
        <v>119.1</v>
      </c>
      <c r="M211">
        <v>111.9</v>
      </c>
      <c r="N211">
        <v>141</v>
      </c>
      <c r="O211">
        <v>133.6</v>
      </c>
      <c r="P211">
        <v>154.5</v>
      </c>
      <c r="Q211">
        <v>139.69999999999999</v>
      </c>
      <c r="R211">
        <v>162.6</v>
      </c>
      <c r="S211">
        <v>148</v>
      </c>
      <c r="T211">
        <v>139.19999999999999</v>
      </c>
      <c r="U211">
        <v>146.80000000000001</v>
      </c>
      <c r="V211">
        <v>146.9</v>
      </c>
      <c r="W211">
        <v>145.30000000000001</v>
      </c>
      <c r="X211">
        <v>142.19999999999999</v>
      </c>
      <c r="Y211">
        <v>142.1</v>
      </c>
      <c r="Z211">
        <v>125.5</v>
      </c>
      <c r="AA211">
        <v>136.5</v>
      </c>
      <c r="AB211">
        <v>147.80000000000001</v>
      </c>
      <c r="AC211">
        <v>132</v>
      </c>
      <c r="AD211">
        <v>136.30000000000001</v>
      </c>
      <c r="AE211">
        <v>140.80000000000001</v>
      </c>
      <c r="AF211" t="str">
        <f>IF(AND(CPI_Data[[#This Row],[Date]]&gt;=DATE(2019,3,1),CPI_Data[[#This Row],[Date]]&lt;DATE(2020,3,1)),"Pre-COVID",IF(AND(CPI_Data[[#This Row],[Date]]&gt;=DATE(2020,3,1),CPI_Data[[#This Row],[Date]]&lt;DATE(2021,3,1)),"Post-COVID",""))</f>
        <v/>
      </c>
    </row>
    <row r="212" spans="1:32" hidden="1" x14ac:dyDescent="0.25">
      <c r="A212" t="s">
        <v>30</v>
      </c>
      <c r="B212">
        <v>2018</v>
      </c>
      <c r="C212" s="1" t="s">
        <v>45</v>
      </c>
      <c r="D212" s="2">
        <f>DATE(CPI_Data[[#This Row],[Year]],MATCH(CPI_Data[[#This Row],[Month]],{"January","February","March","April","May","June","July","August","September","October","November","December"},0),1)</f>
        <v>43405</v>
      </c>
      <c r="E212">
        <v>137.1</v>
      </c>
      <c r="F212">
        <v>150.80000000000001</v>
      </c>
      <c r="G212">
        <v>136.69999999999999</v>
      </c>
      <c r="H212">
        <v>141.9</v>
      </c>
      <c r="I212">
        <v>122.8</v>
      </c>
      <c r="J212">
        <v>143.9</v>
      </c>
      <c r="K212">
        <v>147.5</v>
      </c>
      <c r="L212">
        <v>121</v>
      </c>
      <c r="M212">
        <v>111.6</v>
      </c>
      <c r="N212">
        <v>140.6</v>
      </c>
      <c r="O212">
        <v>137.5</v>
      </c>
      <c r="P212">
        <v>156.1</v>
      </c>
      <c r="Q212">
        <v>140</v>
      </c>
      <c r="R212">
        <v>161.9</v>
      </c>
      <c r="S212">
        <v>151.69999999999999</v>
      </c>
      <c r="T212">
        <v>145.5</v>
      </c>
      <c r="U212">
        <v>150.80000000000001</v>
      </c>
      <c r="V212" t="s">
        <v>32</v>
      </c>
      <c r="W212">
        <v>150.30000000000001</v>
      </c>
      <c r="X212">
        <v>148</v>
      </c>
      <c r="Y212">
        <v>145.4</v>
      </c>
      <c r="Z212">
        <v>130.30000000000001</v>
      </c>
      <c r="AA212">
        <v>143.1</v>
      </c>
      <c r="AB212">
        <v>150.19999999999999</v>
      </c>
      <c r="AC212">
        <v>133.1</v>
      </c>
      <c r="AD212">
        <v>140.1</v>
      </c>
      <c r="AE212">
        <v>142.4</v>
      </c>
      <c r="AF212" t="str">
        <f>IF(AND(CPI_Data[[#This Row],[Date]]&gt;=DATE(2019,3,1),CPI_Data[[#This Row],[Date]]&lt;DATE(2020,3,1)),"Pre-COVID",IF(AND(CPI_Data[[#This Row],[Date]]&gt;=DATE(2020,3,1),CPI_Data[[#This Row],[Date]]&lt;DATE(2021,3,1)),"Post-COVID",""))</f>
        <v/>
      </c>
    </row>
    <row r="213" spans="1:32" hidden="1" x14ac:dyDescent="0.25">
      <c r="A213" t="s">
        <v>33</v>
      </c>
      <c r="B213">
        <v>2018</v>
      </c>
      <c r="C213" s="1" t="s">
        <v>45</v>
      </c>
      <c r="D213" s="2">
        <f>DATE(CPI_Data[[#This Row],[Year]],MATCH(CPI_Data[[#This Row],[Month]],{"January","February","March","April","May","June","July","August","September","October","November","December"},0),1)</f>
        <v>43405</v>
      </c>
      <c r="E213">
        <v>138.1</v>
      </c>
      <c r="F213">
        <v>146.30000000000001</v>
      </c>
      <c r="G213">
        <v>137.80000000000001</v>
      </c>
      <c r="H213">
        <v>141.6</v>
      </c>
      <c r="I213">
        <v>118.1</v>
      </c>
      <c r="J213">
        <v>141.5</v>
      </c>
      <c r="K213">
        <v>145.19999999999999</v>
      </c>
      <c r="L213">
        <v>115.3</v>
      </c>
      <c r="M213">
        <v>112.5</v>
      </c>
      <c r="N213">
        <v>141.4</v>
      </c>
      <c r="O213">
        <v>128</v>
      </c>
      <c r="P213">
        <v>152.6</v>
      </c>
      <c r="Q213">
        <v>139.1</v>
      </c>
      <c r="R213">
        <v>164.4</v>
      </c>
      <c r="S213">
        <v>142.4</v>
      </c>
      <c r="T213">
        <v>130.19999999999999</v>
      </c>
      <c r="U213">
        <v>140.5</v>
      </c>
      <c r="V213">
        <v>146.9</v>
      </c>
      <c r="W213">
        <v>136.69999999999999</v>
      </c>
      <c r="X213">
        <v>135.80000000000001</v>
      </c>
      <c r="Y213">
        <v>136.80000000000001</v>
      </c>
      <c r="Z213">
        <v>121.2</v>
      </c>
      <c r="AA213">
        <v>131.30000000000001</v>
      </c>
      <c r="AB213">
        <v>146.1</v>
      </c>
      <c r="AC213">
        <v>130.5</v>
      </c>
      <c r="AD213">
        <v>132.19999999999999</v>
      </c>
      <c r="AE213">
        <v>139</v>
      </c>
      <c r="AF213" t="str">
        <f>IF(AND(CPI_Data[[#This Row],[Date]]&gt;=DATE(2019,3,1),CPI_Data[[#This Row],[Date]]&lt;DATE(2020,3,1)),"Pre-COVID",IF(AND(CPI_Data[[#This Row],[Date]]&gt;=DATE(2020,3,1),CPI_Data[[#This Row],[Date]]&lt;DATE(2021,3,1)),"Post-COVID",""))</f>
        <v/>
      </c>
    </row>
    <row r="214" spans="1:32" hidden="1" x14ac:dyDescent="0.25">
      <c r="A214" t="s">
        <v>34</v>
      </c>
      <c r="B214">
        <v>2018</v>
      </c>
      <c r="C214" s="1" t="s">
        <v>45</v>
      </c>
      <c r="D214" s="2">
        <f>DATE(CPI_Data[[#This Row],[Year]],MATCH(CPI_Data[[#This Row],[Month]],{"January","February","March","April","May","June","July","August","September","October","November","December"},0),1)</f>
        <v>43405</v>
      </c>
      <c r="E214">
        <v>137.4</v>
      </c>
      <c r="F214">
        <v>149.19999999999999</v>
      </c>
      <c r="G214">
        <v>137.1</v>
      </c>
      <c r="H214">
        <v>141.80000000000001</v>
      </c>
      <c r="I214">
        <v>121.1</v>
      </c>
      <c r="J214">
        <v>142.80000000000001</v>
      </c>
      <c r="K214">
        <v>146.69999999999999</v>
      </c>
      <c r="L214">
        <v>119.1</v>
      </c>
      <c r="M214">
        <v>111.9</v>
      </c>
      <c r="N214">
        <v>140.9</v>
      </c>
      <c r="O214">
        <v>133.5</v>
      </c>
      <c r="P214">
        <v>154.5</v>
      </c>
      <c r="Q214">
        <v>139.69999999999999</v>
      </c>
      <c r="R214">
        <v>162.6</v>
      </c>
      <c r="S214">
        <v>148</v>
      </c>
      <c r="T214">
        <v>139.1</v>
      </c>
      <c r="U214">
        <v>146.69999999999999</v>
      </c>
      <c r="V214">
        <v>146.9</v>
      </c>
      <c r="W214">
        <v>145.1</v>
      </c>
      <c r="X214">
        <v>142.19999999999999</v>
      </c>
      <c r="Y214">
        <v>142.1</v>
      </c>
      <c r="Z214">
        <v>125.5</v>
      </c>
      <c r="AA214">
        <v>136.5</v>
      </c>
      <c r="AB214">
        <v>147.80000000000001</v>
      </c>
      <c r="AC214">
        <v>132</v>
      </c>
      <c r="AD214">
        <v>136.30000000000001</v>
      </c>
      <c r="AE214">
        <v>140.80000000000001</v>
      </c>
      <c r="AF214" t="str">
        <f>IF(AND(CPI_Data[[#This Row],[Date]]&gt;=DATE(2019,3,1),CPI_Data[[#This Row],[Date]]&lt;DATE(2020,3,1)),"Pre-COVID",IF(AND(CPI_Data[[#This Row],[Date]]&gt;=DATE(2020,3,1),CPI_Data[[#This Row],[Date]]&lt;DATE(2021,3,1)),"Post-COVID",""))</f>
        <v/>
      </c>
    </row>
    <row r="215" spans="1:32" hidden="1" x14ac:dyDescent="0.25">
      <c r="A215" t="s">
        <v>30</v>
      </c>
      <c r="B215">
        <v>2018</v>
      </c>
      <c r="C215" s="1" t="s">
        <v>46</v>
      </c>
      <c r="D215" s="2">
        <f>DATE(CPI_Data[[#This Row],[Year]],MATCH(CPI_Data[[#This Row],[Month]],{"January","February","March","April","May","June","July","August","September","October","November","December"},0),1)</f>
        <v>43435</v>
      </c>
      <c r="E215">
        <v>137.1</v>
      </c>
      <c r="F215">
        <v>151.9</v>
      </c>
      <c r="G215">
        <v>137.4</v>
      </c>
      <c r="H215">
        <v>142.4</v>
      </c>
      <c r="I215">
        <v>124.2</v>
      </c>
      <c r="J215">
        <v>140.19999999999999</v>
      </c>
      <c r="K215">
        <v>136.6</v>
      </c>
      <c r="L215">
        <v>120.9</v>
      </c>
      <c r="M215">
        <v>109.9</v>
      </c>
      <c r="N215">
        <v>140.19999999999999</v>
      </c>
      <c r="O215">
        <v>137.80000000000001</v>
      </c>
      <c r="P215">
        <v>156</v>
      </c>
      <c r="Q215">
        <v>138.5</v>
      </c>
      <c r="R215">
        <v>162.4</v>
      </c>
      <c r="S215">
        <v>151.6</v>
      </c>
      <c r="T215">
        <v>145.9</v>
      </c>
      <c r="U215">
        <v>150.80000000000001</v>
      </c>
      <c r="V215" t="s">
        <v>32</v>
      </c>
      <c r="W215">
        <v>149</v>
      </c>
      <c r="X215">
        <v>149.5</v>
      </c>
      <c r="Y215">
        <v>149.6</v>
      </c>
      <c r="Z215">
        <v>128.9</v>
      </c>
      <c r="AA215">
        <v>143.30000000000001</v>
      </c>
      <c r="AB215">
        <v>155.1</v>
      </c>
      <c r="AC215">
        <v>133.19999999999999</v>
      </c>
      <c r="AD215">
        <v>141.6</v>
      </c>
      <c r="AE215">
        <v>141.9</v>
      </c>
      <c r="AF215" t="str">
        <f>IF(AND(CPI_Data[[#This Row],[Date]]&gt;=DATE(2019,3,1),CPI_Data[[#This Row],[Date]]&lt;DATE(2020,3,1)),"Pre-COVID",IF(AND(CPI_Data[[#This Row],[Date]]&gt;=DATE(2020,3,1),CPI_Data[[#This Row],[Date]]&lt;DATE(2021,3,1)),"Post-COVID",""))</f>
        <v/>
      </c>
    </row>
    <row r="216" spans="1:32" hidden="1" x14ac:dyDescent="0.25">
      <c r="A216" t="s">
        <v>33</v>
      </c>
      <c r="B216">
        <v>2018</v>
      </c>
      <c r="C216" s="1" t="s">
        <v>46</v>
      </c>
      <c r="D216" s="2">
        <f>DATE(CPI_Data[[#This Row],[Year]],MATCH(CPI_Data[[#This Row],[Month]],{"January","February","March","April","May","June","July","August","September","October","November","December"},0),1)</f>
        <v>43435</v>
      </c>
      <c r="E216">
        <v>138.5</v>
      </c>
      <c r="F216">
        <v>147.80000000000001</v>
      </c>
      <c r="G216">
        <v>141.1</v>
      </c>
      <c r="H216">
        <v>141.6</v>
      </c>
      <c r="I216">
        <v>118.1</v>
      </c>
      <c r="J216">
        <v>138.5</v>
      </c>
      <c r="K216">
        <v>132.4</v>
      </c>
      <c r="L216">
        <v>117.5</v>
      </c>
      <c r="M216">
        <v>111</v>
      </c>
      <c r="N216">
        <v>141.5</v>
      </c>
      <c r="O216">
        <v>128.1</v>
      </c>
      <c r="P216">
        <v>152.9</v>
      </c>
      <c r="Q216">
        <v>137.6</v>
      </c>
      <c r="R216">
        <v>164.6</v>
      </c>
      <c r="S216">
        <v>142.69999999999999</v>
      </c>
      <c r="T216">
        <v>130.30000000000001</v>
      </c>
      <c r="U216">
        <v>140.80000000000001</v>
      </c>
      <c r="V216">
        <v>146.5</v>
      </c>
      <c r="W216">
        <v>132.4</v>
      </c>
      <c r="X216">
        <v>136.19999999999999</v>
      </c>
      <c r="Y216">
        <v>137.30000000000001</v>
      </c>
      <c r="Z216">
        <v>118.8</v>
      </c>
      <c r="AA216">
        <v>131.69999999999999</v>
      </c>
      <c r="AB216">
        <v>146.5</v>
      </c>
      <c r="AC216">
        <v>130.80000000000001</v>
      </c>
      <c r="AD216">
        <v>131.69999999999999</v>
      </c>
      <c r="AE216">
        <v>138</v>
      </c>
      <c r="AF216" t="str">
        <f>IF(AND(CPI_Data[[#This Row],[Date]]&gt;=DATE(2019,3,1),CPI_Data[[#This Row],[Date]]&lt;DATE(2020,3,1)),"Pre-COVID",IF(AND(CPI_Data[[#This Row],[Date]]&gt;=DATE(2020,3,1),CPI_Data[[#This Row],[Date]]&lt;DATE(2021,3,1)),"Post-COVID",""))</f>
        <v/>
      </c>
    </row>
    <row r="217" spans="1:32" hidden="1" x14ac:dyDescent="0.25">
      <c r="A217" t="s">
        <v>34</v>
      </c>
      <c r="B217">
        <v>2018</v>
      </c>
      <c r="C217" s="1" t="s">
        <v>46</v>
      </c>
      <c r="D217" s="2">
        <f>DATE(CPI_Data[[#This Row],[Year]],MATCH(CPI_Data[[#This Row],[Month]],{"January","February","March","April","May","June","July","August","September","October","November","December"},0),1)</f>
        <v>43435</v>
      </c>
      <c r="E217">
        <v>137.5</v>
      </c>
      <c r="F217">
        <v>150.5</v>
      </c>
      <c r="G217">
        <v>138.80000000000001</v>
      </c>
      <c r="H217">
        <v>142.1</v>
      </c>
      <c r="I217">
        <v>122</v>
      </c>
      <c r="J217">
        <v>139.4</v>
      </c>
      <c r="K217">
        <v>135.19999999999999</v>
      </c>
      <c r="L217">
        <v>119.8</v>
      </c>
      <c r="M217">
        <v>110.3</v>
      </c>
      <c r="N217">
        <v>140.6</v>
      </c>
      <c r="O217">
        <v>133.80000000000001</v>
      </c>
      <c r="P217">
        <v>154.6</v>
      </c>
      <c r="Q217">
        <v>138.19999999999999</v>
      </c>
      <c r="R217">
        <v>163</v>
      </c>
      <c r="S217">
        <v>148.1</v>
      </c>
      <c r="T217">
        <v>139.4</v>
      </c>
      <c r="U217">
        <v>146.80000000000001</v>
      </c>
      <c r="V217">
        <v>146.5</v>
      </c>
      <c r="W217">
        <v>142.69999999999999</v>
      </c>
      <c r="X217">
        <v>143.19999999999999</v>
      </c>
      <c r="Y217">
        <v>144.9</v>
      </c>
      <c r="Z217">
        <v>123.6</v>
      </c>
      <c r="AA217">
        <v>136.80000000000001</v>
      </c>
      <c r="AB217">
        <v>150.1</v>
      </c>
      <c r="AC217">
        <v>132.19999999999999</v>
      </c>
      <c r="AD217">
        <v>136.80000000000001</v>
      </c>
      <c r="AE217">
        <v>140.1</v>
      </c>
      <c r="AF217" t="str">
        <f>IF(AND(CPI_Data[[#This Row],[Date]]&gt;=DATE(2019,3,1),CPI_Data[[#This Row],[Date]]&lt;DATE(2020,3,1)),"Pre-COVID",IF(AND(CPI_Data[[#This Row],[Date]]&gt;=DATE(2020,3,1),CPI_Data[[#This Row],[Date]]&lt;DATE(2021,3,1)),"Post-COVID",""))</f>
        <v/>
      </c>
    </row>
    <row r="218" spans="1:32" hidden="1" x14ac:dyDescent="0.25">
      <c r="A218" t="s">
        <v>30</v>
      </c>
      <c r="B218">
        <v>2019</v>
      </c>
      <c r="C218" s="1" t="s">
        <v>31</v>
      </c>
      <c r="D218" s="2">
        <f>DATE(CPI_Data[[#This Row],[Year]],MATCH(CPI_Data[[#This Row],[Month]],{"January","February","March","April","May","June","July","August","September","October","November","December"},0),1)</f>
        <v>43466</v>
      </c>
      <c r="E218">
        <v>136.6</v>
      </c>
      <c r="F218">
        <v>152.5</v>
      </c>
      <c r="G218">
        <v>138.19999999999999</v>
      </c>
      <c r="H218">
        <v>142.4</v>
      </c>
      <c r="I218">
        <v>123.9</v>
      </c>
      <c r="J218">
        <v>135.5</v>
      </c>
      <c r="K218">
        <v>131.69999999999999</v>
      </c>
      <c r="L218">
        <v>121.3</v>
      </c>
      <c r="M218">
        <v>108.4</v>
      </c>
      <c r="N218">
        <v>138.9</v>
      </c>
      <c r="O218">
        <v>137</v>
      </c>
      <c r="P218">
        <v>155.80000000000001</v>
      </c>
      <c r="Q218">
        <v>137.4</v>
      </c>
      <c r="R218">
        <v>162.69999999999999</v>
      </c>
      <c r="S218">
        <v>150.6</v>
      </c>
      <c r="T218">
        <v>145.1</v>
      </c>
      <c r="U218">
        <v>149.9</v>
      </c>
      <c r="V218" t="s">
        <v>32</v>
      </c>
      <c r="W218">
        <v>146.19999999999999</v>
      </c>
      <c r="X218">
        <v>150.1</v>
      </c>
      <c r="Y218">
        <v>149.6</v>
      </c>
      <c r="Z218">
        <v>128.6</v>
      </c>
      <c r="AA218">
        <v>142.9</v>
      </c>
      <c r="AB218">
        <v>155.19999999999999</v>
      </c>
      <c r="AC218">
        <v>133.5</v>
      </c>
      <c r="AD218">
        <v>141.69999999999999</v>
      </c>
      <c r="AE218">
        <v>141</v>
      </c>
      <c r="AF218" t="str">
        <f>IF(AND(CPI_Data[[#This Row],[Date]]&gt;=DATE(2019,3,1),CPI_Data[[#This Row],[Date]]&lt;DATE(2020,3,1)),"Pre-COVID",IF(AND(CPI_Data[[#This Row],[Date]]&gt;=DATE(2020,3,1),CPI_Data[[#This Row],[Date]]&lt;DATE(2021,3,1)),"Post-COVID",""))</f>
        <v/>
      </c>
    </row>
    <row r="219" spans="1:32" hidden="1" x14ac:dyDescent="0.25">
      <c r="A219" t="s">
        <v>33</v>
      </c>
      <c r="B219">
        <v>2019</v>
      </c>
      <c r="C219" s="1" t="s">
        <v>31</v>
      </c>
      <c r="D219" s="2">
        <f>DATE(CPI_Data[[#This Row],[Year]],MATCH(CPI_Data[[#This Row],[Month]],{"January","February","March","April","May","June","July","August","September","October","November","December"},0),1)</f>
        <v>43466</v>
      </c>
      <c r="E219">
        <v>138.30000000000001</v>
      </c>
      <c r="F219">
        <v>149.4</v>
      </c>
      <c r="G219">
        <v>143.5</v>
      </c>
      <c r="H219">
        <v>141.69999999999999</v>
      </c>
      <c r="I219">
        <v>118.1</v>
      </c>
      <c r="J219">
        <v>135.19999999999999</v>
      </c>
      <c r="K219">
        <v>130.5</v>
      </c>
      <c r="L219">
        <v>118.2</v>
      </c>
      <c r="M219">
        <v>110.4</v>
      </c>
      <c r="N219">
        <v>140.4</v>
      </c>
      <c r="O219">
        <v>128.1</v>
      </c>
      <c r="P219">
        <v>153.19999999999999</v>
      </c>
      <c r="Q219">
        <v>137.30000000000001</v>
      </c>
      <c r="R219">
        <v>164.7</v>
      </c>
      <c r="S219">
        <v>143</v>
      </c>
      <c r="T219">
        <v>130.4</v>
      </c>
      <c r="U219">
        <v>141.1</v>
      </c>
      <c r="V219">
        <v>147.69999999999999</v>
      </c>
      <c r="W219">
        <v>128.6</v>
      </c>
      <c r="X219">
        <v>136.30000000000001</v>
      </c>
      <c r="Y219">
        <v>137.80000000000001</v>
      </c>
      <c r="Z219">
        <v>118.6</v>
      </c>
      <c r="AA219">
        <v>131.9</v>
      </c>
      <c r="AB219">
        <v>146.6</v>
      </c>
      <c r="AC219">
        <v>131.69999999999999</v>
      </c>
      <c r="AD219">
        <v>131.80000000000001</v>
      </c>
      <c r="AE219">
        <v>138</v>
      </c>
      <c r="AF219" t="str">
        <f>IF(AND(CPI_Data[[#This Row],[Date]]&gt;=DATE(2019,3,1),CPI_Data[[#This Row],[Date]]&lt;DATE(2020,3,1)),"Pre-COVID",IF(AND(CPI_Data[[#This Row],[Date]]&gt;=DATE(2020,3,1),CPI_Data[[#This Row],[Date]]&lt;DATE(2021,3,1)),"Post-COVID",""))</f>
        <v/>
      </c>
    </row>
    <row r="220" spans="1:32" hidden="1" x14ac:dyDescent="0.25">
      <c r="A220" t="s">
        <v>34</v>
      </c>
      <c r="B220">
        <v>2019</v>
      </c>
      <c r="C220" s="1" t="s">
        <v>31</v>
      </c>
      <c r="D220" s="2">
        <f>DATE(CPI_Data[[#This Row],[Year]],MATCH(CPI_Data[[#This Row],[Month]],{"January","February","March","April","May","June","July","August","September","October","November","December"},0),1)</f>
        <v>43466</v>
      </c>
      <c r="E220">
        <v>137.1</v>
      </c>
      <c r="F220">
        <v>151.4</v>
      </c>
      <c r="G220">
        <v>140.19999999999999</v>
      </c>
      <c r="H220">
        <v>142.1</v>
      </c>
      <c r="I220">
        <v>121.8</v>
      </c>
      <c r="J220">
        <v>135.4</v>
      </c>
      <c r="K220">
        <v>131.30000000000001</v>
      </c>
      <c r="L220">
        <v>120.3</v>
      </c>
      <c r="M220">
        <v>109.1</v>
      </c>
      <c r="N220">
        <v>139.4</v>
      </c>
      <c r="O220">
        <v>133.30000000000001</v>
      </c>
      <c r="P220">
        <v>154.6</v>
      </c>
      <c r="Q220">
        <v>137.4</v>
      </c>
      <c r="R220">
        <v>163.19999999999999</v>
      </c>
      <c r="S220">
        <v>147.6</v>
      </c>
      <c r="T220">
        <v>139</v>
      </c>
      <c r="U220">
        <v>146.4</v>
      </c>
      <c r="V220">
        <v>147.69999999999999</v>
      </c>
      <c r="W220">
        <v>139.5</v>
      </c>
      <c r="X220">
        <v>143.6</v>
      </c>
      <c r="Y220">
        <v>145.1</v>
      </c>
      <c r="Z220">
        <v>123.3</v>
      </c>
      <c r="AA220">
        <v>136.69999999999999</v>
      </c>
      <c r="AB220">
        <v>150.19999999999999</v>
      </c>
      <c r="AC220">
        <v>132.80000000000001</v>
      </c>
      <c r="AD220">
        <v>136.9</v>
      </c>
      <c r="AE220">
        <v>139.6</v>
      </c>
      <c r="AF220" t="str">
        <f>IF(AND(CPI_Data[[#This Row],[Date]]&gt;=DATE(2019,3,1),CPI_Data[[#This Row],[Date]]&lt;DATE(2020,3,1)),"Pre-COVID",IF(AND(CPI_Data[[#This Row],[Date]]&gt;=DATE(2020,3,1),CPI_Data[[#This Row],[Date]]&lt;DATE(2021,3,1)),"Post-COVID",""))</f>
        <v/>
      </c>
    </row>
    <row r="221" spans="1:32" hidden="1" x14ac:dyDescent="0.25">
      <c r="A221" t="s">
        <v>30</v>
      </c>
      <c r="B221">
        <v>2019</v>
      </c>
      <c r="C221" s="1" t="s">
        <v>35</v>
      </c>
      <c r="D221" s="2">
        <f>DATE(CPI_Data[[#This Row],[Year]],MATCH(CPI_Data[[#This Row],[Month]],{"January","February","March","April","May","June","July","August","September","October","November","December"},0),1)</f>
        <v>43497</v>
      </c>
      <c r="E221">
        <v>136.80000000000001</v>
      </c>
      <c r="F221">
        <v>153</v>
      </c>
      <c r="G221">
        <v>139.1</v>
      </c>
      <c r="H221">
        <v>142.5</v>
      </c>
      <c r="I221">
        <v>124.1</v>
      </c>
      <c r="J221">
        <v>135.80000000000001</v>
      </c>
      <c r="K221">
        <v>128.69999999999999</v>
      </c>
      <c r="L221">
        <v>121.5</v>
      </c>
      <c r="M221">
        <v>108.3</v>
      </c>
      <c r="N221">
        <v>139.19999999999999</v>
      </c>
      <c r="O221">
        <v>137.4</v>
      </c>
      <c r="P221">
        <v>156.19999999999999</v>
      </c>
      <c r="Q221">
        <v>137.19999999999999</v>
      </c>
      <c r="R221">
        <v>162.80000000000001</v>
      </c>
      <c r="S221">
        <v>150.5</v>
      </c>
      <c r="T221">
        <v>146.1</v>
      </c>
      <c r="U221">
        <v>149.9</v>
      </c>
      <c r="V221" t="s">
        <v>32</v>
      </c>
      <c r="W221">
        <v>145.30000000000001</v>
      </c>
      <c r="X221">
        <v>150.1</v>
      </c>
      <c r="Y221">
        <v>149.9</v>
      </c>
      <c r="Z221">
        <v>129.19999999999999</v>
      </c>
      <c r="AA221">
        <v>143.4</v>
      </c>
      <c r="AB221">
        <v>155.5</v>
      </c>
      <c r="AC221">
        <v>134.9</v>
      </c>
      <c r="AD221">
        <v>142.19999999999999</v>
      </c>
      <c r="AE221">
        <v>141</v>
      </c>
      <c r="AF221" t="str">
        <f>IF(AND(CPI_Data[[#This Row],[Date]]&gt;=DATE(2019,3,1),CPI_Data[[#This Row],[Date]]&lt;DATE(2020,3,1)),"Pre-COVID",IF(AND(CPI_Data[[#This Row],[Date]]&gt;=DATE(2020,3,1),CPI_Data[[#This Row],[Date]]&lt;DATE(2021,3,1)),"Post-COVID",""))</f>
        <v/>
      </c>
    </row>
    <row r="222" spans="1:32" hidden="1" x14ac:dyDescent="0.25">
      <c r="A222" t="s">
        <v>33</v>
      </c>
      <c r="B222">
        <v>2019</v>
      </c>
      <c r="C222" s="1" t="s">
        <v>35</v>
      </c>
      <c r="D222" s="2">
        <f>DATE(CPI_Data[[#This Row],[Year]],MATCH(CPI_Data[[#This Row],[Month]],{"January","February","March","April","May","June","July","August","September","October","November","December"},0),1)</f>
        <v>43497</v>
      </c>
      <c r="E222">
        <v>139.4</v>
      </c>
      <c r="F222">
        <v>150.1</v>
      </c>
      <c r="G222">
        <v>145.30000000000001</v>
      </c>
      <c r="H222">
        <v>141.69999999999999</v>
      </c>
      <c r="I222">
        <v>118.4</v>
      </c>
      <c r="J222">
        <v>137</v>
      </c>
      <c r="K222">
        <v>131.6</v>
      </c>
      <c r="L222">
        <v>119.9</v>
      </c>
      <c r="M222">
        <v>110.4</v>
      </c>
      <c r="N222">
        <v>140.80000000000001</v>
      </c>
      <c r="O222">
        <v>128.30000000000001</v>
      </c>
      <c r="P222">
        <v>153.5</v>
      </c>
      <c r="Q222">
        <v>138</v>
      </c>
      <c r="R222">
        <v>164.9</v>
      </c>
      <c r="S222">
        <v>143.30000000000001</v>
      </c>
      <c r="T222">
        <v>130.80000000000001</v>
      </c>
      <c r="U222">
        <v>141.4</v>
      </c>
      <c r="V222">
        <v>148.5</v>
      </c>
      <c r="W222">
        <v>127.1</v>
      </c>
      <c r="X222">
        <v>136.6</v>
      </c>
      <c r="Y222">
        <v>138.5</v>
      </c>
      <c r="Z222">
        <v>119.2</v>
      </c>
      <c r="AA222">
        <v>132.19999999999999</v>
      </c>
      <c r="AB222">
        <v>146.6</v>
      </c>
      <c r="AC222">
        <v>133</v>
      </c>
      <c r="AD222">
        <v>132.4</v>
      </c>
      <c r="AE222">
        <v>138.6</v>
      </c>
      <c r="AF222" t="str">
        <f>IF(AND(CPI_Data[[#This Row],[Date]]&gt;=DATE(2019,3,1),CPI_Data[[#This Row],[Date]]&lt;DATE(2020,3,1)),"Pre-COVID",IF(AND(CPI_Data[[#This Row],[Date]]&gt;=DATE(2020,3,1),CPI_Data[[#This Row],[Date]]&lt;DATE(2021,3,1)),"Post-COVID",""))</f>
        <v/>
      </c>
    </row>
    <row r="223" spans="1:32" hidden="1" x14ac:dyDescent="0.25">
      <c r="A223" t="s">
        <v>34</v>
      </c>
      <c r="B223">
        <v>2019</v>
      </c>
      <c r="C223" s="1" t="s">
        <v>35</v>
      </c>
      <c r="D223" s="2">
        <f>DATE(CPI_Data[[#This Row],[Year]],MATCH(CPI_Data[[#This Row],[Month]],{"January","February","March","April","May","June","July","August","September","October","November","December"},0),1)</f>
        <v>43497</v>
      </c>
      <c r="E223">
        <v>137.6</v>
      </c>
      <c r="F223">
        <v>152</v>
      </c>
      <c r="G223">
        <v>141.5</v>
      </c>
      <c r="H223">
        <v>142.19999999999999</v>
      </c>
      <c r="I223">
        <v>122</v>
      </c>
      <c r="J223">
        <v>136.4</v>
      </c>
      <c r="K223">
        <v>129.69999999999999</v>
      </c>
      <c r="L223">
        <v>121</v>
      </c>
      <c r="M223">
        <v>109</v>
      </c>
      <c r="N223">
        <v>139.69999999999999</v>
      </c>
      <c r="O223">
        <v>133.6</v>
      </c>
      <c r="P223">
        <v>154.9</v>
      </c>
      <c r="Q223">
        <v>137.5</v>
      </c>
      <c r="R223">
        <v>163.4</v>
      </c>
      <c r="S223">
        <v>147.69999999999999</v>
      </c>
      <c r="T223">
        <v>139.69999999999999</v>
      </c>
      <c r="U223">
        <v>146.5</v>
      </c>
      <c r="V223">
        <v>148.5</v>
      </c>
      <c r="W223">
        <v>138.4</v>
      </c>
      <c r="X223">
        <v>143.69999999999999</v>
      </c>
      <c r="Y223">
        <v>145.6</v>
      </c>
      <c r="Z223">
        <v>123.9</v>
      </c>
      <c r="AA223">
        <v>137.1</v>
      </c>
      <c r="AB223">
        <v>150.30000000000001</v>
      </c>
      <c r="AC223">
        <v>134.1</v>
      </c>
      <c r="AD223">
        <v>137.4</v>
      </c>
      <c r="AE223">
        <v>139.9</v>
      </c>
      <c r="AF223" t="str">
        <f>IF(AND(CPI_Data[[#This Row],[Date]]&gt;=DATE(2019,3,1),CPI_Data[[#This Row],[Date]]&lt;DATE(2020,3,1)),"Pre-COVID",IF(AND(CPI_Data[[#This Row],[Date]]&gt;=DATE(2020,3,1),CPI_Data[[#This Row],[Date]]&lt;DATE(2021,3,1)),"Post-COVID",""))</f>
        <v/>
      </c>
    </row>
    <row r="224" spans="1:32" hidden="1" x14ac:dyDescent="0.25">
      <c r="A224" t="s">
        <v>30</v>
      </c>
      <c r="B224">
        <v>2019</v>
      </c>
      <c r="C224" s="1" t="s">
        <v>36</v>
      </c>
      <c r="D224" s="2">
        <f>DATE(CPI_Data[[#This Row],[Year]],MATCH(CPI_Data[[#This Row],[Month]],{"January","February","March","April","May","June","July","August","September","October","November","December"},0),1)</f>
        <v>43525</v>
      </c>
      <c r="E224">
        <v>136.9</v>
      </c>
      <c r="F224">
        <v>154.1</v>
      </c>
      <c r="G224">
        <v>138.69999999999999</v>
      </c>
      <c r="H224">
        <v>142.5</v>
      </c>
      <c r="I224">
        <v>124.1</v>
      </c>
      <c r="J224">
        <v>136.1</v>
      </c>
      <c r="K224">
        <v>128.19999999999999</v>
      </c>
      <c r="L224">
        <v>122.3</v>
      </c>
      <c r="M224">
        <v>108.3</v>
      </c>
      <c r="N224">
        <v>138.9</v>
      </c>
      <c r="O224">
        <v>137.4</v>
      </c>
      <c r="P224">
        <v>156.4</v>
      </c>
      <c r="Q224">
        <v>137.30000000000001</v>
      </c>
      <c r="R224">
        <v>162.9</v>
      </c>
      <c r="S224">
        <v>150.80000000000001</v>
      </c>
      <c r="T224">
        <v>146.1</v>
      </c>
      <c r="U224">
        <v>150.1</v>
      </c>
      <c r="V224" t="s">
        <v>32</v>
      </c>
      <c r="W224">
        <v>146.4</v>
      </c>
      <c r="X224">
        <v>150</v>
      </c>
      <c r="Y224">
        <v>150.4</v>
      </c>
      <c r="Z224">
        <v>129.9</v>
      </c>
      <c r="AA224">
        <v>143.80000000000001</v>
      </c>
      <c r="AB224">
        <v>155.5</v>
      </c>
      <c r="AC224">
        <v>134</v>
      </c>
      <c r="AD224">
        <v>142.4</v>
      </c>
      <c r="AE224">
        <v>141.19999999999999</v>
      </c>
      <c r="AF224" t="str">
        <f>IF(AND(CPI_Data[[#This Row],[Date]]&gt;=DATE(2019,3,1),CPI_Data[[#This Row],[Date]]&lt;DATE(2020,3,1)),"Pre-COVID",IF(AND(CPI_Data[[#This Row],[Date]]&gt;=DATE(2020,3,1),CPI_Data[[#This Row],[Date]]&lt;DATE(2021,3,1)),"Post-COVID",""))</f>
        <v>Pre-COVID</v>
      </c>
    </row>
    <row r="225" spans="1:32" hidden="1" x14ac:dyDescent="0.25">
      <c r="A225" t="s">
        <v>33</v>
      </c>
      <c r="B225">
        <v>2019</v>
      </c>
      <c r="C225" s="1" t="s">
        <v>36</v>
      </c>
      <c r="D225" s="2">
        <f>DATE(CPI_Data[[#This Row],[Year]],MATCH(CPI_Data[[#This Row],[Month]],{"January","February","March","April","May","June","July","August","September","October","November","December"},0),1)</f>
        <v>43525</v>
      </c>
      <c r="E225">
        <v>139.69999999999999</v>
      </c>
      <c r="F225">
        <v>151.1</v>
      </c>
      <c r="G225">
        <v>142.9</v>
      </c>
      <c r="H225">
        <v>141.9</v>
      </c>
      <c r="I225">
        <v>118.4</v>
      </c>
      <c r="J225">
        <v>139.4</v>
      </c>
      <c r="K225">
        <v>141.19999999999999</v>
      </c>
      <c r="L225">
        <v>120.7</v>
      </c>
      <c r="M225">
        <v>110.4</v>
      </c>
      <c r="N225">
        <v>140.69999999999999</v>
      </c>
      <c r="O225">
        <v>128.5</v>
      </c>
      <c r="P225">
        <v>153.9</v>
      </c>
      <c r="Q225">
        <v>139.6</v>
      </c>
      <c r="R225">
        <v>165.3</v>
      </c>
      <c r="S225">
        <v>143.5</v>
      </c>
      <c r="T225">
        <v>131.19999999999999</v>
      </c>
      <c r="U225">
        <v>141.6</v>
      </c>
      <c r="V225">
        <v>149</v>
      </c>
      <c r="W225">
        <v>128.80000000000001</v>
      </c>
      <c r="X225">
        <v>136.80000000000001</v>
      </c>
      <c r="Y225">
        <v>139.19999999999999</v>
      </c>
      <c r="Z225">
        <v>119.9</v>
      </c>
      <c r="AA225">
        <v>133</v>
      </c>
      <c r="AB225">
        <v>146.69999999999999</v>
      </c>
      <c r="AC225">
        <v>132.5</v>
      </c>
      <c r="AD225">
        <v>132.80000000000001</v>
      </c>
      <c r="AE225">
        <v>139.5</v>
      </c>
      <c r="AF225" t="str">
        <f>IF(AND(CPI_Data[[#This Row],[Date]]&gt;=DATE(2019,3,1),CPI_Data[[#This Row],[Date]]&lt;DATE(2020,3,1)),"Pre-COVID",IF(AND(CPI_Data[[#This Row],[Date]]&gt;=DATE(2020,3,1),CPI_Data[[#This Row],[Date]]&lt;DATE(2021,3,1)),"Post-COVID",""))</f>
        <v>Pre-COVID</v>
      </c>
    </row>
    <row r="226" spans="1:32" hidden="1" x14ac:dyDescent="0.25">
      <c r="A226" t="s">
        <v>34</v>
      </c>
      <c r="B226">
        <v>2019</v>
      </c>
      <c r="C226" s="1" t="s">
        <v>36</v>
      </c>
      <c r="D226" s="2">
        <f>DATE(CPI_Data[[#This Row],[Year]],MATCH(CPI_Data[[#This Row],[Month]],{"January","February","March","April","May","June","July","August","September","October","November","December"},0),1)</f>
        <v>43525</v>
      </c>
      <c r="E226">
        <v>137.80000000000001</v>
      </c>
      <c r="F226">
        <v>153</v>
      </c>
      <c r="G226">
        <v>140.30000000000001</v>
      </c>
      <c r="H226">
        <v>142.30000000000001</v>
      </c>
      <c r="I226">
        <v>122</v>
      </c>
      <c r="J226">
        <v>137.6</v>
      </c>
      <c r="K226">
        <v>132.6</v>
      </c>
      <c r="L226">
        <v>121.8</v>
      </c>
      <c r="M226">
        <v>109</v>
      </c>
      <c r="N226">
        <v>139.5</v>
      </c>
      <c r="O226">
        <v>133.69999999999999</v>
      </c>
      <c r="P226">
        <v>155.19999999999999</v>
      </c>
      <c r="Q226">
        <v>138.1</v>
      </c>
      <c r="R226">
        <v>163.5</v>
      </c>
      <c r="S226">
        <v>147.9</v>
      </c>
      <c r="T226">
        <v>139.9</v>
      </c>
      <c r="U226">
        <v>146.69999999999999</v>
      </c>
      <c r="V226">
        <v>149</v>
      </c>
      <c r="W226">
        <v>139.69999999999999</v>
      </c>
      <c r="X226">
        <v>143.80000000000001</v>
      </c>
      <c r="Y226">
        <v>146.19999999999999</v>
      </c>
      <c r="Z226">
        <v>124.6</v>
      </c>
      <c r="AA226">
        <v>137.69999999999999</v>
      </c>
      <c r="AB226">
        <v>150.30000000000001</v>
      </c>
      <c r="AC226">
        <v>133.4</v>
      </c>
      <c r="AD226">
        <v>137.69999999999999</v>
      </c>
      <c r="AE226">
        <v>140.4</v>
      </c>
      <c r="AF226" t="str">
        <f>IF(AND(CPI_Data[[#This Row],[Date]]&gt;=DATE(2019,3,1),CPI_Data[[#This Row],[Date]]&lt;DATE(2020,3,1)),"Pre-COVID",IF(AND(CPI_Data[[#This Row],[Date]]&gt;=DATE(2020,3,1),CPI_Data[[#This Row],[Date]]&lt;DATE(2021,3,1)),"Post-COVID",""))</f>
        <v>Pre-COVID</v>
      </c>
    </row>
    <row r="227" spans="1:32" hidden="1" x14ac:dyDescent="0.25">
      <c r="A227" t="s">
        <v>30</v>
      </c>
      <c r="B227">
        <v>2019</v>
      </c>
      <c r="C227" s="1" t="s">
        <v>38</v>
      </c>
      <c r="D227" s="2">
        <f>DATE(CPI_Data[[#This Row],[Year]],MATCH(CPI_Data[[#This Row],[Month]],{"January","February","March","April","May","June","July","August","September","October","November","December"},0),1)</f>
        <v>43586</v>
      </c>
      <c r="E227">
        <v>137.4</v>
      </c>
      <c r="F227">
        <v>159.5</v>
      </c>
      <c r="G227">
        <v>134.5</v>
      </c>
      <c r="H227">
        <v>142.6</v>
      </c>
      <c r="I227">
        <v>124</v>
      </c>
      <c r="J227">
        <v>143.69999999999999</v>
      </c>
      <c r="K227">
        <v>133.4</v>
      </c>
      <c r="L227">
        <v>125.1</v>
      </c>
      <c r="M227">
        <v>109.3</v>
      </c>
      <c r="N227">
        <v>139.30000000000001</v>
      </c>
      <c r="O227">
        <v>137.69999999999999</v>
      </c>
      <c r="P227">
        <v>156.4</v>
      </c>
      <c r="Q227">
        <v>139.19999999999999</v>
      </c>
      <c r="R227">
        <v>163.30000000000001</v>
      </c>
      <c r="S227">
        <v>151.30000000000001</v>
      </c>
      <c r="T227">
        <v>146.6</v>
      </c>
      <c r="U227">
        <v>150.69999999999999</v>
      </c>
      <c r="V227" t="s">
        <v>32</v>
      </c>
      <c r="W227">
        <v>146.9</v>
      </c>
      <c r="X227">
        <v>149.5</v>
      </c>
      <c r="Y227">
        <v>151.30000000000001</v>
      </c>
      <c r="Z227">
        <v>130.19999999999999</v>
      </c>
      <c r="AA227">
        <v>145.9</v>
      </c>
      <c r="AB227">
        <v>156.69999999999999</v>
      </c>
      <c r="AC227">
        <v>133.9</v>
      </c>
      <c r="AD227">
        <v>142.9</v>
      </c>
      <c r="AE227">
        <v>142.4</v>
      </c>
      <c r="AF227" t="str">
        <f>IF(AND(CPI_Data[[#This Row],[Date]]&gt;=DATE(2019,3,1),CPI_Data[[#This Row],[Date]]&lt;DATE(2020,3,1)),"Pre-COVID",IF(AND(CPI_Data[[#This Row],[Date]]&gt;=DATE(2020,3,1),CPI_Data[[#This Row],[Date]]&lt;DATE(2021,3,1)),"Post-COVID",""))</f>
        <v>Pre-COVID</v>
      </c>
    </row>
    <row r="228" spans="1:32" hidden="1" x14ac:dyDescent="0.25">
      <c r="A228" t="s">
        <v>33</v>
      </c>
      <c r="B228">
        <v>2019</v>
      </c>
      <c r="C228" s="1" t="s">
        <v>38</v>
      </c>
      <c r="D228" s="2">
        <f>DATE(CPI_Data[[#This Row],[Year]],MATCH(CPI_Data[[#This Row],[Month]],{"January","February","March","April","May","June","July","August","September","October","November","December"},0),1)</f>
        <v>43586</v>
      </c>
      <c r="E228">
        <v>140.4</v>
      </c>
      <c r="F228">
        <v>156.69999999999999</v>
      </c>
      <c r="G228">
        <v>138.30000000000001</v>
      </c>
      <c r="H228">
        <v>142.4</v>
      </c>
      <c r="I228">
        <v>118.6</v>
      </c>
      <c r="J228">
        <v>149.69999999999999</v>
      </c>
      <c r="K228">
        <v>161.6</v>
      </c>
      <c r="L228">
        <v>124.4</v>
      </c>
      <c r="M228">
        <v>111.2</v>
      </c>
      <c r="N228">
        <v>141</v>
      </c>
      <c r="O228">
        <v>128.9</v>
      </c>
      <c r="P228">
        <v>154.5</v>
      </c>
      <c r="Q228">
        <v>143.80000000000001</v>
      </c>
      <c r="R228">
        <v>166.2</v>
      </c>
      <c r="S228">
        <v>144</v>
      </c>
      <c r="T228">
        <v>131.69999999999999</v>
      </c>
      <c r="U228">
        <v>142.19999999999999</v>
      </c>
      <c r="V228">
        <v>150.1</v>
      </c>
      <c r="W228">
        <v>129.4</v>
      </c>
      <c r="X228">
        <v>137.19999999999999</v>
      </c>
      <c r="Y228">
        <v>139.80000000000001</v>
      </c>
      <c r="Z228">
        <v>120.1</v>
      </c>
      <c r="AA228">
        <v>134</v>
      </c>
      <c r="AB228">
        <v>148</v>
      </c>
      <c r="AC228">
        <v>132.6</v>
      </c>
      <c r="AD228">
        <v>133.30000000000001</v>
      </c>
      <c r="AE228">
        <v>141.5</v>
      </c>
      <c r="AF228" t="str">
        <f>IF(AND(CPI_Data[[#This Row],[Date]]&gt;=DATE(2019,3,1),CPI_Data[[#This Row],[Date]]&lt;DATE(2020,3,1)),"Pre-COVID",IF(AND(CPI_Data[[#This Row],[Date]]&gt;=DATE(2020,3,1),CPI_Data[[#This Row],[Date]]&lt;DATE(2021,3,1)),"Post-COVID",""))</f>
        <v>Pre-COVID</v>
      </c>
    </row>
    <row r="229" spans="1:32" hidden="1" x14ac:dyDescent="0.25">
      <c r="A229" t="s">
        <v>34</v>
      </c>
      <c r="B229">
        <v>2019</v>
      </c>
      <c r="C229" s="1" t="s">
        <v>38</v>
      </c>
      <c r="D229" s="2">
        <f>DATE(CPI_Data[[#This Row],[Year]],MATCH(CPI_Data[[#This Row],[Month]],{"January","February","March","April","May","June","July","August","September","October","November","December"},0),1)</f>
        <v>43586</v>
      </c>
      <c r="E229">
        <v>138.30000000000001</v>
      </c>
      <c r="F229">
        <v>158.5</v>
      </c>
      <c r="G229">
        <v>136</v>
      </c>
      <c r="H229">
        <v>142.5</v>
      </c>
      <c r="I229">
        <v>122</v>
      </c>
      <c r="J229">
        <v>146.5</v>
      </c>
      <c r="K229">
        <v>143</v>
      </c>
      <c r="L229">
        <v>124.9</v>
      </c>
      <c r="M229">
        <v>109.9</v>
      </c>
      <c r="N229">
        <v>139.9</v>
      </c>
      <c r="O229">
        <v>134</v>
      </c>
      <c r="P229">
        <v>155.5</v>
      </c>
      <c r="Q229">
        <v>140.9</v>
      </c>
      <c r="R229">
        <v>164.1</v>
      </c>
      <c r="S229">
        <v>148.4</v>
      </c>
      <c r="T229">
        <v>140.4</v>
      </c>
      <c r="U229">
        <v>147.30000000000001</v>
      </c>
      <c r="V229">
        <v>150.1</v>
      </c>
      <c r="W229">
        <v>140.30000000000001</v>
      </c>
      <c r="X229">
        <v>143.69999999999999</v>
      </c>
      <c r="Y229">
        <v>146.9</v>
      </c>
      <c r="Z229">
        <v>124.9</v>
      </c>
      <c r="AA229">
        <v>139.19999999999999</v>
      </c>
      <c r="AB229">
        <v>151.6</v>
      </c>
      <c r="AC229">
        <v>133.4</v>
      </c>
      <c r="AD229">
        <v>138.19999999999999</v>
      </c>
      <c r="AE229">
        <v>142</v>
      </c>
      <c r="AF229" t="str">
        <f>IF(AND(CPI_Data[[#This Row],[Date]]&gt;=DATE(2019,3,1),CPI_Data[[#This Row],[Date]]&lt;DATE(2020,3,1)),"Pre-COVID",IF(AND(CPI_Data[[#This Row],[Date]]&gt;=DATE(2020,3,1),CPI_Data[[#This Row],[Date]]&lt;DATE(2021,3,1)),"Post-COVID",""))</f>
        <v>Pre-COVID</v>
      </c>
    </row>
    <row r="230" spans="1:32" hidden="1" x14ac:dyDescent="0.25">
      <c r="A230" t="s">
        <v>30</v>
      </c>
      <c r="B230">
        <v>2019</v>
      </c>
      <c r="C230" s="1" t="s">
        <v>39</v>
      </c>
      <c r="D230" s="2">
        <f>DATE(CPI_Data[[#This Row],[Year]],MATCH(CPI_Data[[#This Row],[Month]],{"January","February","March","April","May","June","July","August","September","October","November","December"},0),1)</f>
        <v>43617</v>
      </c>
      <c r="E230">
        <v>137.80000000000001</v>
      </c>
      <c r="F230">
        <v>163.5</v>
      </c>
      <c r="G230">
        <v>136.19999999999999</v>
      </c>
      <c r="H230">
        <v>143.19999999999999</v>
      </c>
      <c r="I230">
        <v>124.3</v>
      </c>
      <c r="J230">
        <v>143.30000000000001</v>
      </c>
      <c r="K230">
        <v>140.6</v>
      </c>
      <c r="L230">
        <v>128.69999999999999</v>
      </c>
      <c r="M230">
        <v>110.6</v>
      </c>
      <c r="N230">
        <v>140.4</v>
      </c>
      <c r="O230">
        <v>138</v>
      </c>
      <c r="P230">
        <v>156.6</v>
      </c>
      <c r="Q230">
        <v>141</v>
      </c>
      <c r="R230">
        <v>164.2</v>
      </c>
      <c r="S230">
        <v>151.4</v>
      </c>
      <c r="T230">
        <v>146.5</v>
      </c>
      <c r="U230">
        <v>150.69999999999999</v>
      </c>
      <c r="V230" t="s">
        <v>32</v>
      </c>
      <c r="W230">
        <v>147.80000000000001</v>
      </c>
      <c r="X230">
        <v>149.6</v>
      </c>
      <c r="Y230">
        <v>151.69999999999999</v>
      </c>
      <c r="Z230">
        <v>130.19999999999999</v>
      </c>
      <c r="AA230">
        <v>146.4</v>
      </c>
      <c r="AB230">
        <v>157.69999999999999</v>
      </c>
      <c r="AC230">
        <v>134.80000000000001</v>
      </c>
      <c r="AD230">
        <v>143.30000000000001</v>
      </c>
      <c r="AE230">
        <v>143.6</v>
      </c>
      <c r="AF230" t="str">
        <f>IF(AND(CPI_Data[[#This Row],[Date]]&gt;=DATE(2019,3,1),CPI_Data[[#This Row],[Date]]&lt;DATE(2020,3,1)),"Pre-COVID",IF(AND(CPI_Data[[#This Row],[Date]]&gt;=DATE(2020,3,1),CPI_Data[[#This Row],[Date]]&lt;DATE(2021,3,1)),"Post-COVID",""))</f>
        <v>Pre-COVID</v>
      </c>
    </row>
    <row r="231" spans="1:32" hidden="1" x14ac:dyDescent="0.25">
      <c r="A231" t="s">
        <v>33</v>
      </c>
      <c r="B231">
        <v>2019</v>
      </c>
      <c r="C231" s="1" t="s">
        <v>39</v>
      </c>
      <c r="D231" s="2">
        <f>DATE(CPI_Data[[#This Row],[Year]],MATCH(CPI_Data[[#This Row],[Month]],{"January","February","March","April","May","June","July","August","September","October","November","December"},0),1)</f>
        <v>43617</v>
      </c>
      <c r="E231">
        <v>140.69999999999999</v>
      </c>
      <c r="F231">
        <v>159.6</v>
      </c>
      <c r="G231">
        <v>140.4</v>
      </c>
      <c r="H231">
        <v>143.4</v>
      </c>
      <c r="I231">
        <v>118.6</v>
      </c>
      <c r="J231">
        <v>150.9</v>
      </c>
      <c r="K231">
        <v>169.8</v>
      </c>
      <c r="L231">
        <v>127.4</v>
      </c>
      <c r="M231">
        <v>111.8</v>
      </c>
      <c r="N231">
        <v>141</v>
      </c>
      <c r="O231">
        <v>129</v>
      </c>
      <c r="P231">
        <v>155.1</v>
      </c>
      <c r="Q231">
        <v>145.6</v>
      </c>
      <c r="R231">
        <v>166.7</v>
      </c>
      <c r="S231">
        <v>144.30000000000001</v>
      </c>
      <c r="T231">
        <v>131.69999999999999</v>
      </c>
      <c r="U231">
        <v>142.4</v>
      </c>
      <c r="V231">
        <v>149.4</v>
      </c>
      <c r="W231">
        <v>130.5</v>
      </c>
      <c r="X231">
        <v>137.4</v>
      </c>
      <c r="Y231">
        <v>140.30000000000001</v>
      </c>
      <c r="Z231">
        <v>119.6</v>
      </c>
      <c r="AA231">
        <v>134.30000000000001</v>
      </c>
      <c r="AB231">
        <v>148.9</v>
      </c>
      <c r="AC231">
        <v>133.69999999999999</v>
      </c>
      <c r="AD231">
        <v>133.6</v>
      </c>
      <c r="AE231">
        <v>142.1</v>
      </c>
      <c r="AF231" t="str">
        <f>IF(AND(CPI_Data[[#This Row],[Date]]&gt;=DATE(2019,3,1),CPI_Data[[#This Row],[Date]]&lt;DATE(2020,3,1)),"Pre-COVID",IF(AND(CPI_Data[[#This Row],[Date]]&gt;=DATE(2020,3,1),CPI_Data[[#This Row],[Date]]&lt;DATE(2021,3,1)),"Post-COVID",""))</f>
        <v>Pre-COVID</v>
      </c>
    </row>
    <row r="232" spans="1:32" hidden="1" x14ac:dyDescent="0.25">
      <c r="A232" t="s">
        <v>34</v>
      </c>
      <c r="B232">
        <v>2019</v>
      </c>
      <c r="C232" s="1" t="s">
        <v>39</v>
      </c>
      <c r="D232" s="2">
        <f>DATE(CPI_Data[[#This Row],[Year]],MATCH(CPI_Data[[#This Row],[Month]],{"January","February","March","April","May","June","July","August","September","October","November","December"},0),1)</f>
        <v>43617</v>
      </c>
      <c r="E232">
        <v>138.69999999999999</v>
      </c>
      <c r="F232">
        <v>162.1</v>
      </c>
      <c r="G232">
        <v>137.80000000000001</v>
      </c>
      <c r="H232">
        <v>143.30000000000001</v>
      </c>
      <c r="I232">
        <v>122.2</v>
      </c>
      <c r="J232">
        <v>146.80000000000001</v>
      </c>
      <c r="K232">
        <v>150.5</v>
      </c>
      <c r="L232">
        <v>128.30000000000001</v>
      </c>
      <c r="M232">
        <v>111</v>
      </c>
      <c r="N232">
        <v>140.6</v>
      </c>
      <c r="O232">
        <v>134.19999999999999</v>
      </c>
      <c r="P232">
        <v>155.9</v>
      </c>
      <c r="Q232">
        <v>142.69999999999999</v>
      </c>
      <c r="R232">
        <v>164.9</v>
      </c>
      <c r="S232">
        <v>148.6</v>
      </c>
      <c r="T232">
        <v>140.4</v>
      </c>
      <c r="U232">
        <v>147.4</v>
      </c>
      <c r="V232">
        <v>149.4</v>
      </c>
      <c r="W232">
        <v>141.19999999999999</v>
      </c>
      <c r="X232">
        <v>143.80000000000001</v>
      </c>
      <c r="Y232">
        <v>147.4</v>
      </c>
      <c r="Z232">
        <v>124.6</v>
      </c>
      <c r="AA232">
        <v>139.6</v>
      </c>
      <c r="AB232">
        <v>152.5</v>
      </c>
      <c r="AC232">
        <v>134.30000000000001</v>
      </c>
      <c r="AD232">
        <v>138.6</v>
      </c>
      <c r="AE232">
        <v>142.9</v>
      </c>
      <c r="AF232" t="str">
        <f>IF(AND(CPI_Data[[#This Row],[Date]]&gt;=DATE(2019,3,1),CPI_Data[[#This Row],[Date]]&lt;DATE(2020,3,1)),"Pre-COVID",IF(AND(CPI_Data[[#This Row],[Date]]&gt;=DATE(2020,3,1),CPI_Data[[#This Row],[Date]]&lt;DATE(2021,3,1)),"Post-COVID",""))</f>
        <v>Pre-COVID</v>
      </c>
    </row>
    <row r="233" spans="1:32" hidden="1" x14ac:dyDescent="0.25">
      <c r="A233" t="s">
        <v>30</v>
      </c>
      <c r="B233">
        <v>2019</v>
      </c>
      <c r="C233" s="1" t="s">
        <v>40</v>
      </c>
      <c r="D233" s="2">
        <f>DATE(CPI_Data[[#This Row],[Year]],MATCH(CPI_Data[[#This Row],[Month]],{"January","February","March","April","May","June","July","August","September","October","November","December"},0),1)</f>
        <v>43647</v>
      </c>
      <c r="E233">
        <v>138.4</v>
      </c>
      <c r="F233">
        <v>164</v>
      </c>
      <c r="G233">
        <v>138.4</v>
      </c>
      <c r="H233">
        <v>143.9</v>
      </c>
      <c r="I233">
        <v>124.4</v>
      </c>
      <c r="J233">
        <v>146.4</v>
      </c>
      <c r="K233">
        <v>150.1</v>
      </c>
      <c r="L233">
        <v>130.6</v>
      </c>
      <c r="M233">
        <v>110.8</v>
      </c>
      <c r="N233">
        <v>141.69999999999999</v>
      </c>
      <c r="O233">
        <v>138.5</v>
      </c>
      <c r="P233">
        <v>156.69999999999999</v>
      </c>
      <c r="Q233">
        <v>143</v>
      </c>
      <c r="R233">
        <v>164.5</v>
      </c>
      <c r="S233">
        <v>151.6</v>
      </c>
      <c r="T233">
        <v>146.6</v>
      </c>
      <c r="U233">
        <v>150.9</v>
      </c>
      <c r="V233" t="s">
        <v>32</v>
      </c>
      <c r="W233">
        <v>146.80000000000001</v>
      </c>
      <c r="X233">
        <v>150</v>
      </c>
      <c r="Y233">
        <v>152.19999999999999</v>
      </c>
      <c r="Z233">
        <v>131.19999999999999</v>
      </c>
      <c r="AA233">
        <v>147.5</v>
      </c>
      <c r="AB233">
        <v>159.1</v>
      </c>
      <c r="AC233">
        <v>136.1</v>
      </c>
      <c r="AD233">
        <v>144.19999999999999</v>
      </c>
      <c r="AE233">
        <v>144.9</v>
      </c>
      <c r="AF233" t="str">
        <f>IF(AND(CPI_Data[[#This Row],[Date]]&gt;=DATE(2019,3,1),CPI_Data[[#This Row],[Date]]&lt;DATE(2020,3,1)),"Pre-COVID",IF(AND(CPI_Data[[#This Row],[Date]]&gt;=DATE(2020,3,1),CPI_Data[[#This Row],[Date]]&lt;DATE(2021,3,1)),"Post-COVID",""))</f>
        <v>Pre-COVID</v>
      </c>
    </row>
    <row r="234" spans="1:32" hidden="1" x14ac:dyDescent="0.25">
      <c r="A234" t="s">
        <v>33</v>
      </c>
      <c r="B234">
        <v>2019</v>
      </c>
      <c r="C234" s="1" t="s">
        <v>40</v>
      </c>
      <c r="D234" s="2">
        <f>DATE(CPI_Data[[#This Row],[Year]],MATCH(CPI_Data[[#This Row],[Month]],{"January","February","March","April","May","June","July","August","September","October","November","December"},0),1)</f>
        <v>43647</v>
      </c>
      <c r="E234">
        <v>141.4</v>
      </c>
      <c r="F234">
        <v>160.19999999999999</v>
      </c>
      <c r="G234">
        <v>142.5</v>
      </c>
      <c r="H234">
        <v>144.1</v>
      </c>
      <c r="I234">
        <v>119.3</v>
      </c>
      <c r="J234">
        <v>154.69999999999999</v>
      </c>
      <c r="K234">
        <v>180.1</v>
      </c>
      <c r="L234">
        <v>128.9</v>
      </c>
      <c r="M234">
        <v>111.8</v>
      </c>
      <c r="N234">
        <v>141.6</v>
      </c>
      <c r="O234">
        <v>129.5</v>
      </c>
      <c r="P234">
        <v>155.6</v>
      </c>
      <c r="Q234">
        <v>147.69999999999999</v>
      </c>
      <c r="R234">
        <v>167.2</v>
      </c>
      <c r="S234">
        <v>144.69999999999999</v>
      </c>
      <c r="T234">
        <v>131.9</v>
      </c>
      <c r="U234">
        <v>142.69999999999999</v>
      </c>
      <c r="V234">
        <v>150.6</v>
      </c>
      <c r="W234">
        <v>127</v>
      </c>
      <c r="X234">
        <v>137.69999999999999</v>
      </c>
      <c r="Y234">
        <v>140.80000000000001</v>
      </c>
      <c r="Z234">
        <v>120.6</v>
      </c>
      <c r="AA234">
        <v>135</v>
      </c>
      <c r="AB234">
        <v>150.4</v>
      </c>
      <c r="AC234">
        <v>135.1</v>
      </c>
      <c r="AD234">
        <v>134.5</v>
      </c>
      <c r="AE234">
        <v>143.30000000000001</v>
      </c>
      <c r="AF234" t="str">
        <f>IF(AND(CPI_Data[[#This Row],[Date]]&gt;=DATE(2019,3,1),CPI_Data[[#This Row],[Date]]&lt;DATE(2020,3,1)),"Pre-COVID",IF(AND(CPI_Data[[#This Row],[Date]]&gt;=DATE(2020,3,1),CPI_Data[[#This Row],[Date]]&lt;DATE(2021,3,1)),"Post-COVID",""))</f>
        <v>Pre-COVID</v>
      </c>
    </row>
    <row r="235" spans="1:32" hidden="1" x14ac:dyDescent="0.25">
      <c r="A235" t="s">
        <v>34</v>
      </c>
      <c r="B235">
        <v>2019</v>
      </c>
      <c r="C235" s="1" t="s">
        <v>40</v>
      </c>
      <c r="D235" s="2">
        <f>DATE(CPI_Data[[#This Row],[Year]],MATCH(CPI_Data[[#This Row],[Month]],{"January","February","March","April","May","June","July","August","September","October","November","December"},0),1)</f>
        <v>43647</v>
      </c>
      <c r="E235">
        <v>139.30000000000001</v>
      </c>
      <c r="F235">
        <v>162.69999999999999</v>
      </c>
      <c r="G235">
        <v>140</v>
      </c>
      <c r="H235">
        <v>144</v>
      </c>
      <c r="I235">
        <v>122.5</v>
      </c>
      <c r="J235">
        <v>150.30000000000001</v>
      </c>
      <c r="K235">
        <v>160.30000000000001</v>
      </c>
      <c r="L235">
        <v>130</v>
      </c>
      <c r="M235">
        <v>111.1</v>
      </c>
      <c r="N235">
        <v>141.69999999999999</v>
      </c>
      <c r="O235">
        <v>134.69999999999999</v>
      </c>
      <c r="P235">
        <v>156.19999999999999</v>
      </c>
      <c r="Q235">
        <v>144.69999999999999</v>
      </c>
      <c r="R235">
        <v>165.2</v>
      </c>
      <c r="S235">
        <v>148.9</v>
      </c>
      <c r="T235">
        <v>140.5</v>
      </c>
      <c r="U235">
        <v>147.6</v>
      </c>
      <c r="V235">
        <v>150.6</v>
      </c>
      <c r="W235">
        <v>139.30000000000001</v>
      </c>
      <c r="X235">
        <v>144.19999999999999</v>
      </c>
      <c r="Y235">
        <v>147.9</v>
      </c>
      <c r="Z235">
        <v>125.6</v>
      </c>
      <c r="AA235">
        <v>140.5</v>
      </c>
      <c r="AB235">
        <v>154</v>
      </c>
      <c r="AC235">
        <v>135.69999999999999</v>
      </c>
      <c r="AD235">
        <v>139.5</v>
      </c>
      <c r="AE235">
        <v>144.19999999999999</v>
      </c>
      <c r="AF235" t="str">
        <f>IF(AND(CPI_Data[[#This Row],[Date]]&gt;=DATE(2019,3,1),CPI_Data[[#This Row],[Date]]&lt;DATE(2020,3,1)),"Pre-COVID",IF(AND(CPI_Data[[#This Row],[Date]]&gt;=DATE(2020,3,1),CPI_Data[[#This Row],[Date]]&lt;DATE(2021,3,1)),"Post-COVID",""))</f>
        <v>Pre-COVID</v>
      </c>
    </row>
    <row r="236" spans="1:32" hidden="1" x14ac:dyDescent="0.25">
      <c r="A236" t="s">
        <v>30</v>
      </c>
      <c r="B236">
        <v>2019</v>
      </c>
      <c r="C236" s="1" t="s">
        <v>41</v>
      </c>
      <c r="D236" s="2">
        <f>DATE(CPI_Data[[#This Row],[Year]],MATCH(CPI_Data[[#This Row],[Month]],{"January","February","March","April","May","June","July","August","September","October","November","December"},0),1)</f>
        <v>43678</v>
      </c>
      <c r="E236">
        <v>139.19999999999999</v>
      </c>
      <c r="F236">
        <v>161.9</v>
      </c>
      <c r="G236">
        <v>137.1</v>
      </c>
      <c r="H236">
        <v>144.6</v>
      </c>
      <c r="I236">
        <v>124.7</v>
      </c>
      <c r="J236">
        <v>145.5</v>
      </c>
      <c r="K236">
        <v>156.19999999999999</v>
      </c>
      <c r="L236">
        <v>131.5</v>
      </c>
      <c r="M236">
        <v>111.7</v>
      </c>
      <c r="N236">
        <v>142.69999999999999</v>
      </c>
      <c r="O236">
        <v>138.5</v>
      </c>
      <c r="P236">
        <v>156.9</v>
      </c>
      <c r="Q236">
        <v>144</v>
      </c>
      <c r="R236">
        <v>165.1</v>
      </c>
      <c r="S236">
        <v>151.80000000000001</v>
      </c>
      <c r="T236">
        <v>146.6</v>
      </c>
      <c r="U236">
        <v>151.1</v>
      </c>
      <c r="V236" t="s">
        <v>32</v>
      </c>
      <c r="W236">
        <v>146.4</v>
      </c>
      <c r="X236">
        <v>150.19999999999999</v>
      </c>
      <c r="Y236">
        <v>152.69999999999999</v>
      </c>
      <c r="Z236">
        <v>131.4</v>
      </c>
      <c r="AA236">
        <v>148</v>
      </c>
      <c r="AB236">
        <v>159.69999999999999</v>
      </c>
      <c r="AC236">
        <v>138.80000000000001</v>
      </c>
      <c r="AD236">
        <v>144.9</v>
      </c>
      <c r="AE236">
        <v>145.69999999999999</v>
      </c>
      <c r="AF236" t="str">
        <f>IF(AND(CPI_Data[[#This Row],[Date]]&gt;=DATE(2019,3,1),CPI_Data[[#This Row],[Date]]&lt;DATE(2020,3,1)),"Pre-COVID",IF(AND(CPI_Data[[#This Row],[Date]]&gt;=DATE(2020,3,1),CPI_Data[[#This Row],[Date]]&lt;DATE(2021,3,1)),"Post-COVID",""))</f>
        <v>Pre-COVID</v>
      </c>
    </row>
    <row r="237" spans="1:32" hidden="1" x14ac:dyDescent="0.25">
      <c r="A237" t="s">
        <v>33</v>
      </c>
      <c r="B237">
        <v>2019</v>
      </c>
      <c r="C237" s="1" t="s">
        <v>41</v>
      </c>
      <c r="D237" s="2">
        <f>DATE(CPI_Data[[#This Row],[Year]],MATCH(CPI_Data[[#This Row],[Month]],{"January","February","March","April","May","June","July","August","September","October","November","December"},0),1)</f>
        <v>43678</v>
      </c>
      <c r="E237">
        <v>142.1</v>
      </c>
      <c r="F237">
        <v>158.30000000000001</v>
      </c>
      <c r="G237">
        <v>140.80000000000001</v>
      </c>
      <c r="H237">
        <v>144.9</v>
      </c>
      <c r="I237">
        <v>119.9</v>
      </c>
      <c r="J237">
        <v>153.9</v>
      </c>
      <c r="K237">
        <v>189.1</v>
      </c>
      <c r="L237">
        <v>129.80000000000001</v>
      </c>
      <c r="M237">
        <v>112.7</v>
      </c>
      <c r="N237">
        <v>142.5</v>
      </c>
      <c r="O237">
        <v>129.80000000000001</v>
      </c>
      <c r="P237">
        <v>156.19999999999999</v>
      </c>
      <c r="Q237">
        <v>149.1</v>
      </c>
      <c r="R237">
        <v>167.9</v>
      </c>
      <c r="S237">
        <v>145</v>
      </c>
      <c r="T237">
        <v>132.19999999999999</v>
      </c>
      <c r="U237">
        <v>143</v>
      </c>
      <c r="V237">
        <v>151.6</v>
      </c>
      <c r="W237">
        <v>125.5</v>
      </c>
      <c r="X237">
        <v>138.1</v>
      </c>
      <c r="Y237">
        <v>141.5</v>
      </c>
      <c r="Z237">
        <v>120.8</v>
      </c>
      <c r="AA237">
        <v>135.4</v>
      </c>
      <c r="AB237">
        <v>151.5</v>
      </c>
      <c r="AC237">
        <v>137.80000000000001</v>
      </c>
      <c r="AD237">
        <v>135.30000000000001</v>
      </c>
      <c r="AE237">
        <v>144.19999999999999</v>
      </c>
      <c r="AF237" t="str">
        <f>IF(AND(CPI_Data[[#This Row],[Date]]&gt;=DATE(2019,3,1),CPI_Data[[#This Row],[Date]]&lt;DATE(2020,3,1)),"Pre-COVID",IF(AND(CPI_Data[[#This Row],[Date]]&gt;=DATE(2020,3,1),CPI_Data[[#This Row],[Date]]&lt;DATE(2021,3,1)),"Post-COVID",""))</f>
        <v>Pre-COVID</v>
      </c>
    </row>
    <row r="238" spans="1:32" hidden="1" x14ac:dyDescent="0.25">
      <c r="A238" t="s">
        <v>34</v>
      </c>
      <c r="B238">
        <v>2019</v>
      </c>
      <c r="C238" s="1" t="s">
        <v>41</v>
      </c>
      <c r="D238" s="2">
        <f>DATE(CPI_Data[[#This Row],[Year]],MATCH(CPI_Data[[#This Row],[Month]],{"January","February","March","April","May","June","July","August","September","October","November","December"},0),1)</f>
        <v>43678</v>
      </c>
      <c r="E238">
        <v>140.1</v>
      </c>
      <c r="F238">
        <v>160.6</v>
      </c>
      <c r="G238">
        <v>138.5</v>
      </c>
      <c r="H238">
        <v>144.69999999999999</v>
      </c>
      <c r="I238">
        <v>122.9</v>
      </c>
      <c r="J238">
        <v>149.4</v>
      </c>
      <c r="K238">
        <v>167.4</v>
      </c>
      <c r="L238">
        <v>130.9</v>
      </c>
      <c r="M238">
        <v>112</v>
      </c>
      <c r="N238">
        <v>142.6</v>
      </c>
      <c r="O238">
        <v>134.9</v>
      </c>
      <c r="P238">
        <v>156.6</v>
      </c>
      <c r="Q238">
        <v>145.9</v>
      </c>
      <c r="R238">
        <v>165.8</v>
      </c>
      <c r="S238">
        <v>149.1</v>
      </c>
      <c r="T238">
        <v>140.6</v>
      </c>
      <c r="U238">
        <v>147.9</v>
      </c>
      <c r="V238">
        <v>151.6</v>
      </c>
      <c r="W238">
        <v>138.5</v>
      </c>
      <c r="X238">
        <v>144.5</v>
      </c>
      <c r="Y238">
        <v>148.5</v>
      </c>
      <c r="Z238">
        <v>125.8</v>
      </c>
      <c r="AA238">
        <v>140.9</v>
      </c>
      <c r="AB238">
        <v>154.9</v>
      </c>
      <c r="AC238">
        <v>138.4</v>
      </c>
      <c r="AD238">
        <v>140.19999999999999</v>
      </c>
      <c r="AE238">
        <v>145</v>
      </c>
      <c r="AF238" t="str">
        <f>IF(AND(CPI_Data[[#This Row],[Date]]&gt;=DATE(2019,3,1),CPI_Data[[#This Row],[Date]]&lt;DATE(2020,3,1)),"Pre-COVID",IF(AND(CPI_Data[[#This Row],[Date]]&gt;=DATE(2020,3,1),CPI_Data[[#This Row],[Date]]&lt;DATE(2021,3,1)),"Post-COVID",""))</f>
        <v>Pre-COVID</v>
      </c>
    </row>
    <row r="239" spans="1:32" hidden="1" x14ac:dyDescent="0.25">
      <c r="A239" t="s">
        <v>30</v>
      </c>
      <c r="B239">
        <v>2019</v>
      </c>
      <c r="C239" s="1" t="s">
        <v>42</v>
      </c>
      <c r="D239" s="2">
        <f>DATE(CPI_Data[[#This Row],[Year]],MATCH(CPI_Data[[#This Row],[Month]],{"January","February","March","April","May","June","July","August","September","October","November","December"},0),1)</f>
        <v>43709</v>
      </c>
      <c r="E239">
        <v>140.1</v>
      </c>
      <c r="F239">
        <v>161.9</v>
      </c>
      <c r="G239">
        <v>138.30000000000001</v>
      </c>
      <c r="H239">
        <v>145.69999999999999</v>
      </c>
      <c r="I239">
        <v>125.1</v>
      </c>
      <c r="J239">
        <v>143.80000000000001</v>
      </c>
      <c r="K239">
        <v>163.4</v>
      </c>
      <c r="L239">
        <v>132.19999999999999</v>
      </c>
      <c r="M239">
        <v>112.8</v>
      </c>
      <c r="N239">
        <v>144.19999999999999</v>
      </c>
      <c r="O239">
        <v>138.5</v>
      </c>
      <c r="P239">
        <v>157.19999999999999</v>
      </c>
      <c r="Q239">
        <v>145.5</v>
      </c>
      <c r="R239">
        <v>165.7</v>
      </c>
      <c r="S239">
        <v>151.69999999999999</v>
      </c>
      <c r="T239">
        <v>146.6</v>
      </c>
      <c r="U239">
        <v>151</v>
      </c>
      <c r="V239" t="s">
        <v>32</v>
      </c>
      <c r="W239">
        <v>146.9</v>
      </c>
      <c r="X239">
        <v>150.30000000000001</v>
      </c>
      <c r="Y239">
        <v>153.4</v>
      </c>
      <c r="Z239">
        <v>131.6</v>
      </c>
      <c r="AA239">
        <v>148.30000000000001</v>
      </c>
      <c r="AB239">
        <v>160.19999999999999</v>
      </c>
      <c r="AC239">
        <v>140.19999999999999</v>
      </c>
      <c r="AD239">
        <v>145.4</v>
      </c>
      <c r="AE239">
        <v>146.69999999999999</v>
      </c>
      <c r="AF239" t="str">
        <f>IF(AND(CPI_Data[[#This Row],[Date]]&gt;=DATE(2019,3,1),CPI_Data[[#This Row],[Date]]&lt;DATE(2020,3,1)),"Pre-COVID",IF(AND(CPI_Data[[#This Row],[Date]]&gt;=DATE(2020,3,1),CPI_Data[[#This Row],[Date]]&lt;DATE(2021,3,1)),"Post-COVID",""))</f>
        <v>Pre-COVID</v>
      </c>
    </row>
    <row r="240" spans="1:32" hidden="1" x14ac:dyDescent="0.25">
      <c r="A240" t="s">
        <v>33</v>
      </c>
      <c r="B240">
        <v>2019</v>
      </c>
      <c r="C240" s="1" t="s">
        <v>42</v>
      </c>
      <c r="D240" s="2">
        <f>DATE(CPI_Data[[#This Row],[Year]],MATCH(CPI_Data[[#This Row],[Month]],{"January","February","March","April","May","June","July","August","September","October","November","December"},0),1)</f>
        <v>43709</v>
      </c>
      <c r="E240">
        <v>142.69999999999999</v>
      </c>
      <c r="F240">
        <v>158.69999999999999</v>
      </c>
      <c r="G240">
        <v>141.6</v>
      </c>
      <c r="H240">
        <v>144.9</v>
      </c>
      <c r="I240">
        <v>120.8</v>
      </c>
      <c r="J240">
        <v>149.80000000000001</v>
      </c>
      <c r="K240">
        <v>192.4</v>
      </c>
      <c r="L240">
        <v>130.30000000000001</v>
      </c>
      <c r="M240">
        <v>114</v>
      </c>
      <c r="N240">
        <v>143.80000000000001</v>
      </c>
      <c r="O240">
        <v>130</v>
      </c>
      <c r="P240">
        <v>156.4</v>
      </c>
      <c r="Q240">
        <v>149.5</v>
      </c>
      <c r="R240">
        <v>168.6</v>
      </c>
      <c r="S240">
        <v>145.30000000000001</v>
      </c>
      <c r="T240">
        <v>132.19999999999999</v>
      </c>
      <c r="U240">
        <v>143.30000000000001</v>
      </c>
      <c r="V240">
        <v>152.19999999999999</v>
      </c>
      <c r="W240">
        <v>126.6</v>
      </c>
      <c r="X240">
        <v>138.30000000000001</v>
      </c>
      <c r="Y240">
        <v>141.9</v>
      </c>
      <c r="Z240">
        <v>121.2</v>
      </c>
      <c r="AA240">
        <v>135.9</v>
      </c>
      <c r="AB240">
        <v>151.6</v>
      </c>
      <c r="AC240">
        <v>139</v>
      </c>
      <c r="AD240">
        <v>135.69999999999999</v>
      </c>
      <c r="AE240">
        <v>144.69999999999999</v>
      </c>
      <c r="AF240" t="str">
        <f>IF(AND(CPI_Data[[#This Row],[Date]]&gt;=DATE(2019,3,1),CPI_Data[[#This Row],[Date]]&lt;DATE(2020,3,1)),"Pre-COVID",IF(AND(CPI_Data[[#This Row],[Date]]&gt;=DATE(2020,3,1),CPI_Data[[#This Row],[Date]]&lt;DATE(2021,3,1)),"Post-COVID",""))</f>
        <v>Pre-COVID</v>
      </c>
    </row>
    <row r="241" spans="1:32" hidden="1" x14ac:dyDescent="0.25">
      <c r="A241" t="s">
        <v>34</v>
      </c>
      <c r="B241">
        <v>2019</v>
      </c>
      <c r="C241" s="1" t="s">
        <v>42</v>
      </c>
      <c r="D241" s="2">
        <f>DATE(CPI_Data[[#This Row],[Year]],MATCH(CPI_Data[[#This Row],[Month]],{"January","February","March","April","May","June","July","August","September","October","November","December"},0),1)</f>
        <v>43709</v>
      </c>
      <c r="E241">
        <v>140.9</v>
      </c>
      <c r="F241">
        <v>160.80000000000001</v>
      </c>
      <c r="G241">
        <v>139.6</v>
      </c>
      <c r="H241">
        <v>145.4</v>
      </c>
      <c r="I241">
        <v>123.5</v>
      </c>
      <c r="J241">
        <v>146.6</v>
      </c>
      <c r="K241">
        <v>173.2</v>
      </c>
      <c r="L241">
        <v>131.6</v>
      </c>
      <c r="M241">
        <v>113.2</v>
      </c>
      <c r="N241">
        <v>144.1</v>
      </c>
      <c r="O241">
        <v>135</v>
      </c>
      <c r="P241">
        <v>156.80000000000001</v>
      </c>
      <c r="Q241">
        <v>147</v>
      </c>
      <c r="R241">
        <v>166.5</v>
      </c>
      <c r="S241">
        <v>149.19999999999999</v>
      </c>
      <c r="T241">
        <v>140.6</v>
      </c>
      <c r="U241">
        <v>147.9</v>
      </c>
      <c r="V241">
        <v>152.19999999999999</v>
      </c>
      <c r="W241">
        <v>139.19999999999999</v>
      </c>
      <c r="X241">
        <v>144.6</v>
      </c>
      <c r="Y241">
        <v>149</v>
      </c>
      <c r="Z241">
        <v>126.1</v>
      </c>
      <c r="AA241">
        <v>141.30000000000001</v>
      </c>
      <c r="AB241">
        <v>155.19999999999999</v>
      </c>
      <c r="AC241">
        <v>139.69999999999999</v>
      </c>
      <c r="AD241">
        <v>140.69999999999999</v>
      </c>
      <c r="AE241">
        <v>145.80000000000001</v>
      </c>
      <c r="AF241" t="str">
        <f>IF(AND(CPI_Data[[#This Row],[Date]]&gt;=DATE(2019,3,1),CPI_Data[[#This Row],[Date]]&lt;DATE(2020,3,1)),"Pre-COVID",IF(AND(CPI_Data[[#This Row],[Date]]&gt;=DATE(2020,3,1),CPI_Data[[#This Row],[Date]]&lt;DATE(2021,3,1)),"Post-COVID",""))</f>
        <v>Pre-COVID</v>
      </c>
    </row>
    <row r="242" spans="1:32" hidden="1" x14ac:dyDescent="0.25">
      <c r="A242" t="s">
        <v>30</v>
      </c>
      <c r="B242">
        <v>2019</v>
      </c>
      <c r="C242" s="1" t="s">
        <v>43</v>
      </c>
      <c r="D242" s="2">
        <f>DATE(CPI_Data[[#This Row],[Year]],MATCH(CPI_Data[[#This Row],[Month]],{"January","February","March","April","May","June","July","August","September","October","November","December"},0),1)</f>
        <v>43739</v>
      </c>
      <c r="E242">
        <v>141</v>
      </c>
      <c r="F242">
        <v>161.6</v>
      </c>
      <c r="G242">
        <v>141.19999999999999</v>
      </c>
      <c r="H242">
        <v>146.5</v>
      </c>
      <c r="I242">
        <v>125.6</v>
      </c>
      <c r="J242">
        <v>145.69999999999999</v>
      </c>
      <c r="K242">
        <v>178.8</v>
      </c>
      <c r="L242">
        <v>133.1</v>
      </c>
      <c r="M242">
        <v>113.6</v>
      </c>
      <c r="N242">
        <v>145.5</v>
      </c>
      <c r="O242">
        <v>138.6</v>
      </c>
      <c r="P242">
        <v>157.4</v>
      </c>
      <c r="Q242">
        <v>148.30000000000001</v>
      </c>
      <c r="R242">
        <v>166.3</v>
      </c>
      <c r="S242">
        <v>151.69999999999999</v>
      </c>
      <c r="T242">
        <v>146.69999999999999</v>
      </c>
      <c r="U242">
        <v>151</v>
      </c>
      <c r="V242" t="s">
        <v>32</v>
      </c>
      <c r="W242">
        <v>147.69999999999999</v>
      </c>
      <c r="X242">
        <v>150.6</v>
      </c>
      <c r="Y242">
        <v>153.69999999999999</v>
      </c>
      <c r="Z242">
        <v>131.69999999999999</v>
      </c>
      <c r="AA242">
        <v>148.69999999999999</v>
      </c>
      <c r="AB242">
        <v>160.69999999999999</v>
      </c>
      <c r="AC242">
        <v>140.30000000000001</v>
      </c>
      <c r="AD242">
        <v>145.69999999999999</v>
      </c>
      <c r="AE242">
        <v>148.30000000000001</v>
      </c>
      <c r="AF242" t="str">
        <f>IF(AND(CPI_Data[[#This Row],[Date]]&gt;=DATE(2019,3,1),CPI_Data[[#This Row],[Date]]&lt;DATE(2020,3,1)),"Pre-COVID",IF(AND(CPI_Data[[#This Row],[Date]]&gt;=DATE(2020,3,1),CPI_Data[[#This Row],[Date]]&lt;DATE(2021,3,1)),"Post-COVID",""))</f>
        <v>Pre-COVID</v>
      </c>
    </row>
    <row r="243" spans="1:32" hidden="1" x14ac:dyDescent="0.25">
      <c r="A243" t="s">
        <v>33</v>
      </c>
      <c r="B243">
        <v>2019</v>
      </c>
      <c r="C243" s="1" t="s">
        <v>43</v>
      </c>
      <c r="D243" s="2">
        <f>DATE(CPI_Data[[#This Row],[Year]],MATCH(CPI_Data[[#This Row],[Month]],{"January","February","March","April","May","June","July","August","September","October","November","December"},0),1)</f>
        <v>43739</v>
      </c>
      <c r="E243">
        <v>143.5</v>
      </c>
      <c r="F243">
        <v>159.80000000000001</v>
      </c>
      <c r="G243">
        <v>144.69999999999999</v>
      </c>
      <c r="H243">
        <v>145.6</v>
      </c>
      <c r="I243">
        <v>121.1</v>
      </c>
      <c r="J243">
        <v>150.6</v>
      </c>
      <c r="K243">
        <v>207.2</v>
      </c>
      <c r="L243">
        <v>131.19999999999999</v>
      </c>
      <c r="M243">
        <v>114.8</v>
      </c>
      <c r="N243">
        <v>145.19999999999999</v>
      </c>
      <c r="O243">
        <v>130.19999999999999</v>
      </c>
      <c r="P243">
        <v>156.80000000000001</v>
      </c>
      <c r="Q243">
        <v>151.9</v>
      </c>
      <c r="R243">
        <v>169.3</v>
      </c>
      <c r="S243">
        <v>145.9</v>
      </c>
      <c r="T243">
        <v>132.4</v>
      </c>
      <c r="U243">
        <v>143.9</v>
      </c>
      <c r="V243">
        <v>153</v>
      </c>
      <c r="W243">
        <v>128.9</v>
      </c>
      <c r="X243">
        <v>138.69999999999999</v>
      </c>
      <c r="Y243">
        <v>142.4</v>
      </c>
      <c r="Z243">
        <v>121.5</v>
      </c>
      <c r="AA243">
        <v>136.19999999999999</v>
      </c>
      <c r="AB243">
        <v>151.69999999999999</v>
      </c>
      <c r="AC243">
        <v>139.5</v>
      </c>
      <c r="AD243">
        <v>136</v>
      </c>
      <c r="AE243">
        <v>146</v>
      </c>
      <c r="AF243" t="str">
        <f>IF(AND(CPI_Data[[#This Row],[Date]]&gt;=DATE(2019,3,1),CPI_Data[[#This Row],[Date]]&lt;DATE(2020,3,1)),"Pre-COVID",IF(AND(CPI_Data[[#This Row],[Date]]&gt;=DATE(2020,3,1),CPI_Data[[#This Row],[Date]]&lt;DATE(2021,3,1)),"Post-COVID",""))</f>
        <v>Pre-COVID</v>
      </c>
    </row>
    <row r="244" spans="1:32" hidden="1" x14ac:dyDescent="0.25">
      <c r="A244" t="s">
        <v>34</v>
      </c>
      <c r="B244">
        <v>2019</v>
      </c>
      <c r="C244" s="1" t="s">
        <v>43</v>
      </c>
      <c r="D244" s="2">
        <f>DATE(CPI_Data[[#This Row],[Year]],MATCH(CPI_Data[[#This Row],[Month]],{"January","February","March","April","May","June","July","August","September","October","November","December"},0),1)</f>
        <v>43739</v>
      </c>
      <c r="E244">
        <v>141.80000000000001</v>
      </c>
      <c r="F244">
        <v>161</v>
      </c>
      <c r="G244">
        <v>142.6</v>
      </c>
      <c r="H244">
        <v>146.19999999999999</v>
      </c>
      <c r="I244">
        <v>123.9</v>
      </c>
      <c r="J244">
        <v>148</v>
      </c>
      <c r="K244">
        <v>188.4</v>
      </c>
      <c r="L244">
        <v>132.5</v>
      </c>
      <c r="M244">
        <v>114</v>
      </c>
      <c r="N244">
        <v>145.4</v>
      </c>
      <c r="O244">
        <v>135.1</v>
      </c>
      <c r="P244">
        <v>157.1</v>
      </c>
      <c r="Q244">
        <v>149.6</v>
      </c>
      <c r="R244">
        <v>167.1</v>
      </c>
      <c r="S244">
        <v>149.4</v>
      </c>
      <c r="T244">
        <v>140.80000000000001</v>
      </c>
      <c r="U244">
        <v>148.19999999999999</v>
      </c>
      <c r="V244">
        <v>153</v>
      </c>
      <c r="W244">
        <v>140.6</v>
      </c>
      <c r="X244">
        <v>145</v>
      </c>
      <c r="Y244">
        <v>149.4</v>
      </c>
      <c r="Z244">
        <v>126.3</v>
      </c>
      <c r="AA244">
        <v>141.69999999999999</v>
      </c>
      <c r="AB244">
        <v>155.4</v>
      </c>
      <c r="AC244">
        <v>140</v>
      </c>
      <c r="AD244">
        <v>141</v>
      </c>
      <c r="AE244">
        <v>147.19999999999999</v>
      </c>
      <c r="AF244" t="str">
        <f>IF(AND(CPI_Data[[#This Row],[Date]]&gt;=DATE(2019,3,1),CPI_Data[[#This Row],[Date]]&lt;DATE(2020,3,1)),"Pre-COVID",IF(AND(CPI_Data[[#This Row],[Date]]&gt;=DATE(2020,3,1),CPI_Data[[#This Row],[Date]]&lt;DATE(2021,3,1)),"Post-COVID",""))</f>
        <v>Pre-COVID</v>
      </c>
    </row>
    <row r="245" spans="1:32" hidden="1" x14ac:dyDescent="0.25">
      <c r="A245" t="s">
        <v>30</v>
      </c>
      <c r="B245">
        <v>2019</v>
      </c>
      <c r="C245" s="1" t="s">
        <v>45</v>
      </c>
      <c r="D245" s="2">
        <f>DATE(CPI_Data[[#This Row],[Year]],MATCH(CPI_Data[[#This Row],[Month]],{"January","February","March","April","May","June","July","August","September","October","November","December"},0),1)</f>
        <v>43770</v>
      </c>
      <c r="E245">
        <v>141.80000000000001</v>
      </c>
      <c r="F245">
        <v>163.69999999999999</v>
      </c>
      <c r="G245">
        <v>143.80000000000001</v>
      </c>
      <c r="H245">
        <v>147.1</v>
      </c>
      <c r="I245">
        <v>126</v>
      </c>
      <c r="J245">
        <v>146.19999999999999</v>
      </c>
      <c r="K245">
        <v>191.4</v>
      </c>
      <c r="L245">
        <v>136.19999999999999</v>
      </c>
      <c r="M245">
        <v>113.8</v>
      </c>
      <c r="N245">
        <v>147.30000000000001</v>
      </c>
      <c r="O245">
        <v>138.69999999999999</v>
      </c>
      <c r="P245">
        <v>157.69999999999999</v>
      </c>
      <c r="Q245">
        <v>150.9</v>
      </c>
      <c r="R245">
        <v>167.2</v>
      </c>
      <c r="S245">
        <v>152.30000000000001</v>
      </c>
      <c r="T245">
        <v>147</v>
      </c>
      <c r="U245">
        <v>151.5</v>
      </c>
      <c r="V245" t="s">
        <v>32</v>
      </c>
      <c r="W245">
        <v>148.4</v>
      </c>
      <c r="X245">
        <v>150.9</v>
      </c>
      <c r="Y245">
        <v>154.30000000000001</v>
      </c>
      <c r="Z245">
        <v>132.1</v>
      </c>
      <c r="AA245">
        <v>149.1</v>
      </c>
      <c r="AB245">
        <v>160.80000000000001</v>
      </c>
      <c r="AC245">
        <v>140.6</v>
      </c>
      <c r="AD245">
        <v>146.1</v>
      </c>
      <c r="AE245">
        <v>149.9</v>
      </c>
      <c r="AF245" t="str">
        <f>IF(AND(CPI_Data[[#This Row],[Date]]&gt;=DATE(2019,3,1),CPI_Data[[#This Row],[Date]]&lt;DATE(2020,3,1)),"Pre-COVID",IF(AND(CPI_Data[[#This Row],[Date]]&gt;=DATE(2020,3,1),CPI_Data[[#This Row],[Date]]&lt;DATE(2021,3,1)),"Post-COVID",""))</f>
        <v>Pre-COVID</v>
      </c>
    </row>
    <row r="246" spans="1:32" hidden="1" x14ac:dyDescent="0.25">
      <c r="A246" t="s">
        <v>33</v>
      </c>
      <c r="B246">
        <v>2019</v>
      </c>
      <c r="C246" s="1" t="s">
        <v>45</v>
      </c>
      <c r="D246" s="2">
        <f>DATE(CPI_Data[[#This Row],[Year]],MATCH(CPI_Data[[#This Row],[Month]],{"January","February","March","April","May","June","July","August","September","October","November","December"},0),1)</f>
        <v>43770</v>
      </c>
      <c r="E246">
        <v>144.1</v>
      </c>
      <c r="F246">
        <v>162.4</v>
      </c>
      <c r="G246">
        <v>148.4</v>
      </c>
      <c r="H246">
        <v>145.9</v>
      </c>
      <c r="I246">
        <v>121.5</v>
      </c>
      <c r="J246">
        <v>148.80000000000001</v>
      </c>
      <c r="K246">
        <v>215.7</v>
      </c>
      <c r="L246">
        <v>134.6</v>
      </c>
      <c r="M246">
        <v>115</v>
      </c>
      <c r="N246">
        <v>146.30000000000001</v>
      </c>
      <c r="O246">
        <v>130.5</v>
      </c>
      <c r="P246">
        <v>157.19999999999999</v>
      </c>
      <c r="Q246">
        <v>153.6</v>
      </c>
      <c r="R246">
        <v>169.9</v>
      </c>
      <c r="S246">
        <v>146.30000000000001</v>
      </c>
      <c r="T246">
        <v>132.6</v>
      </c>
      <c r="U246">
        <v>144.19999999999999</v>
      </c>
      <c r="V246">
        <v>153.5</v>
      </c>
      <c r="W246">
        <v>132.19999999999999</v>
      </c>
      <c r="X246">
        <v>139.1</v>
      </c>
      <c r="Y246">
        <v>142.80000000000001</v>
      </c>
      <c r="Z246">
        <v>121.7</v>
      </c>
      <c r="AA246">
        <v>136.69999999999999</v>
      </c>
      <c r="AB246">
        <v>151.80000000000001</v>
      </c>
      <c r="AC246">
        <v>139.80000000000001</v>
      </c>
      <c r="AD246">
        <v>136.30000000000001</v>
      </c>
      <c r="AE246">
        <v>147</v>
      </c>
      <c r="AF246" t="str">
        <f>IF(AND(CPI_Data[[#This Row],[Date]]&gt;=DATE(2019,3,1),CPI_Data[[#This Row],[Date]]&lt;DATE(2020,3,1)),"Pre-COVID",IF(AND(CPI_Data[[#This Row],[Date]]&gt;=DATE(2020,3,1),CPI_Data[[#This Row],[Date]]&lt;DATE(2021,3,1)),"Post-COVID",""))</f>
        <v>Pre-COVID</v>
      </c>
    </row>
    <row r="247" spans="1:32" hidden="1" x14ac:dyDescent="0.25">
      <c r="A247" t="s">
        <v>34</v>
      </c>
      <c r="B247">
        <v>2019</v>
      </c>
      <c r="C247" s="1" t="s">
        <v>45</v>
      </c>
      <c r="D247" s="2">
        <f>DATE(CPI_Data[[#This Row],[Year]],MATCH(CPI_Data[[#This Row],[Month]],{"January","February","March","April","May","June","July","August","September","October","November","December"},0),1)</f>
        <v>43770</v>
      </c>
      <c r="E247">
        <v>142.5</v>
      </c>
      <c r="F247">
        <v>163.19999999999999</v>
      </c>
      <c r="G247">
        <v>145.6</v>
      </c>
      <c r="H247">
        <v>146.69999999999999</v>
      </c>
      <c r="I247">
        <v>124.3</v>
      </c>
      <c r="J247">
        <v>147.4</v>
      </c>
      <c r="K247">
        <v>199.6</v>
      </c>
      <c r="L247">
        <v>135.69999999999999</v>
      </c>
      <c r="M247">
        <v>114.2</v>
      </c>
      <c r="N247">
        <v>147</v>
      </c>
      <c r="O247">
        <v>135.30000000000001</v>
      </c>
      <c r="P247">
        <v>157.5</v>
      </c>
      <c r="Q247">
        <v>151.9</v>
      </c>
      <c r="R247">
        <v>167.9</v>
      </c>
      <c r="S247">
        <v>149.9</v>
      </c>
      <c r="T247">
        <v>141</v>
      </c>
      <c r="U247">
        <v>148.6</v>
      </c>
      <c r="V247">
        <v>153.5</v>
      </c>
      <c r="W247">
        <v>142.30000000000001</v>
      </c>
      <c r="X247">
        <v>145.30000000000001</v>
      </c>
      <c r="Y247">
        <v>149.9</v>
      </c>
      <c r="Z247">
        <v>126.6</v>
      </c>
      <c r="AA247">
        <v>142.1</v>
      </c>
      <c r="AB247">
        <v>155.5</v>
      </c>
      <c r="AC247">
        <v>140.30000000000001</v>
      </c>
      <c r="AD247">
        <v>141.30000000000001</v>
      </c>
      <c r="AE247">
        <v>148.6</v>
      </c>
      <c r="AF247" t="str">
        <f>IF(AND(CPI_Data[[#This Row],[Date]]&gt;=DATE(2019,3,1),CPI_Data[[#This Row],[Date]]&lt;DATE(2020,3,1)),"Pre-COVID",IF(AND(CPI_Data[[#This Row],[Date]]&gt;=DATE(2020,3,1),CPI_Data[[#This Row],[Date]]&lt;DATE(2021,3,1)),"Post-COVID",""))</f>
        <v>Pre-COVID</v>
      </c>
    </row>
    <row r="248" spans="1:32" hidden="1" x14ac:dyDescent="0.25">
      <c r="A248" t="s">
        <v>30</v>
      </c>
      <c r="B248">
        <v>2019</v>
      </c>
      <c r="C248" s="1" t="s">
        <v>46</v>
      </c>
      <c r="D248" s="2">
        <f>DATE(CPI_Data[[#This Row],[Year]],MATCH(CPI_Data[[#This Row],[Month]],{"January","February","March","April","May","June","July","August","September","October","November","December"},0),1)</f>
        <v>43800</v>
      </c>
      <c r="E248">
        <v>142.80000000000001</v>
      </c>
      <c r="F248">
        <v>165.3</v>
      </c>
      <c r="G248">
        <v>149.5</v>
      </c>
      <c r="H248">
        <v>148.69999999999999</v>
      </c>
      <c r="I248">
        <v>127.5</v>
      </c>
      <c r="J248">
        <v>144.30000000000001</v>
      </c>
      <c r="K248">
        <v>209.5</v>
      </c>
      <c r="L248">
        <v>138.80000000000001</v>
      </c>
      <c r="M248">
        <v>113.6</v>
      </c>
      <c r="N248">
        <v>149.1</v>
      </c>
      <c r="O248">
        <v>139.30000000000001</v>
      </c>
      <c r="P248">
        <v>158.30000000000001</v>
      </c>
      <c r="Q248">
        <v>154.30000000000001</v>
      </c>
      <c r="R248">
        <v>167.8</v>
      </c>
      <c r="S248">
        <v>152.6</v>
      </c>
      <c r="T248">
        <v>147.30000000000001</v>
      </c>
      <c r="U248">
        <v>151.9</v>
      </c>
      <c r="V248" t="s">
        <v>32</v>
      </c>
      <c r="W248">
        <v>149.9</v>
      </c>
      <c r="X248">
        <v>151.19999999999999</v>
      </c>
      <c r="Y248">
        <v>154.80000000000001</v>
      </c>
      <c r="Z248">
        <v>135</v>
      </c>
      <c r="AA248">
        <v>149.5</v>
      </c>
      <c r="AB248">
        <v>161.1</v>
      </c>
      <c r="AC248">
        <v>140.6</v>
      </c>
      <c r="AD248">
        <v>147.1</v>
      </c>
      <c r="AE248">
        <v>152.30000000000001</v>
      </c>
      <c r="AF248" t="str">
        <f>IF(AND(CPI_Data[[#This Row],[Date]]&gt;=DATE(2019,3,1),CPI_Data[[#This Row],[Date]]&lt;DATE(2020,3,1)),"Pre-COVID",IF(AND(CPI_Data[[#This Row],[Date]]&gt;=DATE(2020,3,1),CPI_Data[[#This Row],[Date]]&lt;DATE(2021,3,1)),"Post-COVID",""))</f>
        <v>Pre-COVID</v>
      </c>
    </row>
    <row r="249" spans="1:32" hidden="1" x14ac:dyDescent="0.25">
      <c r="A249" t="s">
        <v>33</v>
      </c>
      <c r="B249">
        <v>2019</v>
      </c>
      <c r="C249" s="1" t="s">
        <v>46</v>
      </c>
      <c r="D249" s="2">
        <f>DATE(CPI_Data[[#This Row],[Year]],MATCH(CPI_Data[[#This Row],[Month]],{"January","February","March","April","May","June","July","August","September","October","November","December"},0),1)</f>
        <v>43800</v>
      </c>
      <c r="E249">
        <v>144.9</v>
      </c>
      <c r="F249">
        <v>164.5</v>
      </c>
      <c r="G249">
        <v>153.69999999999999</v>
      </c>
      <c r="H249">
        <v>147.5</v>
      </c>
      <c r="I249">
        <v>122.7</v>
      </c>
      <c r="J249">
        <v>147.19999999999999</v>
      </c>
      <c r="K249">
        <v>231.5</v>
      </c>
      <c r="L249">
        <v>137.19999999999999</v>
      </c>
      <c r="M249">
        <v>114.7</v>
      </c>
      <c r="N249">
        <v>148</v>
      </c>
      <c r="O249">
        <v>130.80000000000001</v>
      </c>
      <c r="P249">
        <v>157.69999999999999</v>
      </c>
      <c r="Q249">
        <v>156.30000000000001</v>
      </c>
      <c r="R249">
        <v>170.4</v>
      </c>
      <c r="S249">
        <v>146.80000000000001</v>
      </c>
      <c r="T249">
        <v>132.80000000000001</v>
      </c>
      <c r="U249">
        <v>144.6</v>
      </c>
      <c r="V249">
        <v>152.80000000000001</v>
      </c>
      <c r="W249">
        <v>133.6</v>
      </c>
      <c r="X249">
        <v>139.80000000000001</v>
      </c>
      <c r="Y249">
        <v>143.19999999999999</v>
      </c>
      <c r="Z249">
        <v>125.2</v>
      </c>
      <c r="AA249">
        <v>136.80000000000001</v>
      </c>
      <c r="AB249">
        <v>151.9</v>
      </c>
      <c r="AC249">
        <v>140.19999999999999</v>
      </c>
      <c r="AD249">
        <v>137.69999999999999</v>
      </c>
      <c r="AE249">
        <v>148.30000000000001</v>
      </c>
      <c r="AF249" t="str">
        <f>IF(AND(CPI_Data[[#This Row],[Date]]&gt;=DATE(2019,3,1),CPI_Data[[#This Row],[Date]]&lt;DATE(2020,3,1)),"Pre-COVID",IF(AND(CPI_Data[[#This Row],[Date]]&gt;=DATE(2020,3,1),CPI_Data[[#This Row],[Date]]&lt;DATE(2021,3,1)),"Post-COVID",""))</f>
        <v>Pre-COVID</v>
      </c>
    </row>
    <row r="250" spans="1:32" hidden="1" x14ac:dyDescent="0.25">
      <c r="A250" t="s">
        <v>34</v>
      </c>
      <c r="B250">
        <v>2019</v>
      </c>
      <c r="C250" s="1" t="s">
        <v>46</v>
      </c>
      <c r="D250" s="2">
        <f>DATE(CPI_Data[[#This Row],[Year]],MATCH(CPI_Data[[#This Row],[Month]],{"January","February","March","April","May","June","July","August","September","October","November","December"},0),1)</f>
        <v>43800</v>
      </c>
      <c r="E250">
        <v>143.5</v>
      </c>
      <c r="F250">
        <v>165</v>
      </c>
      <c r="G250">
        <v>151.1</v>
      </c>
      <c r="H250">
        <v>148.30000000000001</v>
      </c>
      <c r="I250">
        <v>125.7</v>
      </c>
      <c r="J250">
        <v>145.69999999999999</v>
      </c>
      <c r="K250">
        <v>217</v>
      </c>
      <c r="L250">
        <v>138.30000000000001</v>
      </c>
      <c r="M250">
        <v>114</v>
      </c>
      <c r="N250">
        <v>148.69999999999999</v>
      </c>
      <c r="O250">
        <v>135.80000000000001</v>
      </c>
      <c r="P250">
        <v>158</v>
      </c>
      <c r="Q250">
        <v>155</v>
      </c>
      <c r="R250">
        <v>168.5</v>
      </c>
      <c r="S250">
        <v>150.30000000000001</v>
      </c>
      <c r="T250">
        <v>141.30000000000001</v>
      </c>
      <c r="U250">
        <v>149</v>
      </c>
      <c r="V250">
        <v>152.80000000000001</v>
      </c>
      <c r="W250">
        <v>143.69999999999999</v>
      </c>
      <c r="X250">
        <v>145.80000000000001</v>
      </c>
      <c r="Y250">
        <v>150.4</v>
      </c>
      <c r="Z250">
        <v>129.80000000000001</v>
      </c>
      <c r="AA250">
        <v>142.30000000000001</v>
      </c>
      <c r="AB250">
        <v>155.69999999999999</v>
      </c>
      <c r="AC250">
        <v>140.4</v>
      </c>
      <c r="AD250">
        <v>142.5</v>
      </c>
      <c r="AE250">
        <v>150.4</v>
      </c>
      <c r="AF250" t="str">
        <f>IF(AND(CPI_Data[[#This Row],[Date]]&gt;=DATE(2019,3,1),CPI_Data[[#This Row],[Date]]&lt;DATE(2020,3,1)),"Pre-COVID",IF(AND(CPI_Data[[#This Row],[Date]]&gt;=DATE(2020,3,1),CPI_Data[[#This Row],[Date]]&lt;DATE(2021,3,1)),"Post-COVID",""))</f>
        <v>Pre-COVID</v>
      </c>
    </row>
    <row r="251" spans="1:32" hidden="1" x14ac:dyDescent="0.25">
      <c r="A251" t="s">
        <v>30</v>
      </c>
      <c r="B251">
        <v>2020</v>
      </c>
      <c r="C251" s="1" t="s">
        <v>31</v>
      </c>
      <c r="D251" s="2">
        <f>DATE(CPI_Data[[#This Row],[Year]],MATCH(CPI_Data[[#This Row],[Month]],{"January","February","March","April","May","June","July","August","September","October","November","December"},0),1)</f>
        <v>43831</v>
      </c>
      <c r="E251">
        <v>143.69999999999999</v>
      </c>
      <c r="F251">
        <v>167.3</v>
      </c>
      <c r="G251">
        <v>153.5</v>
      </c>
      <c r="H251">
        <v>150.5</v>
      </c>
      <c r="I251">
        <v>132</v>
      </c>
      <c r="J251">
        <v>142.19999999999999</v>
      </c>
      <c r="K251">
        <v>191.5</v>
      </c>
      <c r="L251">
        <v>141.1</v>
      </c>
      <c r="M251">
        <v>113.8</v>
      </c>
      <c r="N251">
        <v>151.6</v>
      </c>
      <c r="O251">
        <v>139.69999999999999</v>
      </c>
      <c r="P251">
        <v>158.69999999999999</v>
      </c>
      <c r="Q251">
        <v>153</v>
      </c>
      <c r="R251">
        <v>168.6</v>
      </c>
      <c r="S251">
        <v>152.80000000000001</v>
      </c>
      <c r="T251">
        <v>147.4</v>
      </c>
      <c r="U251">
        <v>152.1</v>
      </c>
      <c r="V251" t="s">
        <v>32</v>
      </c>
      <c r="W251">
        <v>150.4</v>
      </c>
      <c r="X251">
        <v>151.69999999999999</v>
      </c>
      <c r="Y251">
        <v>155.69999999999999</v>
      </c>
      <c r="Z251">
        <v>136.30000000000001</v>
      </c>
      <c r="AA251">
        <v>150.1</v>
      </c>
      <c r="AB251">
        <v>161.69999999999999</v>
      </c>
      <c r="AC251">
        <v>142.5</v>
      </c>
      <c r="AD251">
        <v>148.1</v>
      </c>
      <c r="AE251">
        <v>151.9</v>
      </c>
      <c r="AF251" t="str">
        <f>IF(AND(CPI_Data[[#This Row],[Date]]&gt;=DATE(2019,3,1),CPI_Data[[#This Row],[Date]]&lt;DATE(2020,3,1)),"Pre-COVID",IF(AND(CPI_Data[[#This Row],[Date]]&gt;=DATE(2020,3,1),CPI_Data[[#This Row],[Date]]&lt;DATE(2021,3,1)),"Post-COVID",""))</f>
        <v>Pre-COVID</v>
      </c>
    </row>
    <row r="252" spans="1:32" hidden="1" x14ac:dyDescent="0.25">
      <c r="A252" t="s">
        <v>33</v>
      </c>
      <c r="B252">
        <v>2020</v>
      </c>
      <c r="C252" s="1" t="s">
        <v>31</v>
      </c>
      <c r="D252" s="2">
        <f>DATE(CPI_Data[[#This Row],[Year]],MATCH(CPI_Data[[#This Row],[Month]],{"January","February","March","April","May","June","July","August","September","October","November","December"},0),1)</f>
        <v>43831</v>
      </c>
      <c r="E252">
        <v>145.6</v>
      </c>
      <c r="F252">
        <v>167.6</v>
      </c>
      <c r="G252">
        <v>157</v>
      </c>
      <c r="H252">
        <v>149.30000000000001</v>
      </c>
      <c r="I252">
        <v>126.3</v>
      </c>
      <c r="J252">
        <v>144.4</v>
      </c>
      <c r="K252">
        <v>207.8</v>
      </c>
      <c r="L252">
        <v>139.1</v>
      </c>
      <c r="M252">
        <v>114.8</v>
      </c>
      <c r="N252">
        <v>149.5</v>
      </c>
      <c r="O252">
        <v>131.1</v>
      </c>
      <c r="P252">
        <v>158.5</v>
      </c>
      <c r="Q252">
        <v>154.4</v>
      </c>
      <c r="R252">
        <v>170.8</v>
      </c>
      <c r="S252">
        <v>147</v>
      </c>
      <c r="T252">
        <v>133.19999999999999</v>
      </c>
      <c r="U252">
        <v>144.9</v>
      </c>
      <c r="V252">
        <v>153.9</v>
      </c>
      <c r="W252">
        <v>135.1</v>
      </c>
      <c r="X252">
        <v>140.1</v>
      </c>
      <c r="Y252">
        <v>143.80000000000001</v>
      </c>
      <c r="Z252">
        <v>126.1</v>
      </c>
      <c r="AA252">
        <v>137.19999999999999</v>
      </c>
      <c r="AB252">
        <v>152.1</v>
      </c>
      <c r="AC252">
        <v>142.1</v>
      </c>
      <c r="AD252">
        <v>138.4</v>
      </c>
      <c r="AE252">
        <v>148.19999999999999</v>
      </c>
      <c r="AF252" t="str">
        <f>IF(AND(CPI_Data[[#This Row],[Date]]&gt;=DATE(2019,3,1),CPI_Data[[#This Row],[Date]]&lt;DATE(2020,3,1)),"Pre-COVID",IF(AND(CPI_Data[[#This Row],[Date]]&gt;=DATE(2020,3,1),CPI_Data[[#This Row],[Date]]&lt;DATE(2021,3,1)),"Post-COVID",""))</f>
        <v>Pre-COVID</v>
      </c>
    </row>
    <row r="253" spans="1:32" hidden="1" x14ac:dyDescent="0.25">
      <c r="A253" t="s">
        <v>34</v>
      </c>
      <c r="B253">
        <v>2020</v>
      </c>
      <c r="C253" s="1" t="s">
        <v>31</v>
      </c>
      <c r="D253" s="2">
        <f>DATE(CPI_Data[[#This Row],[Year]],MATCH(CPI_Data[[#This Row],[Month]],{"January","February","March","April","May","June","July","August","September","October","November","December"},0),1)</f>
        <v>43831</v>
      </c>
      <c r="E253">
        <v>144.30000000000001</v>
      </c>
      <c r="F253">
        <v>167.4</v>
      </c>
      <c r="G253">
        <v>154.9</v>
      </c>
      <c r="H253">
        <v>150.1</v>
      </c>
      <c r="I253">
        <v>129.9</v>
      </c>
      <c r="J253">
        <v>143.19999999999999</v>
      </c>
      <c r="K253">
        <v>197</v>
      </c>
      <c r="L253">
        <v>140.4</v>
      </c>
      <c r="M253">
        <v>114.1</v>
      </c>
      <c r="N253">
        <v>150.9</v>
      </c>
      <c r="O253">
        <v>136.1</v>
      </c>
      <c r="P253">
        <v>158.6</v>
      </c>
      <c r="Q253">
        <v>153.5</v>
      </c>
      <c r="R253">
        <v>169.2</v>
      </c>
      <c r="S253">
        <v>150.5</v>
      </c>
      <c r="T253">
        <v>141.5</v>
      </c>
      <c r="U253">
        <v>149.19999999999999</v>
      </c>
      <c r="V253">
        <v>153.9</v>
      </c>
      <c r="W253">
        <v>144.6</v>
      </c>
      <c r="X253">
        <v>146.19999999999999</v>
      </c>
      <c r="Y253">
        <v>151.19999999999999</v>
      </c>
      <c r="Z253">
        <v>130.9</v>
      </c>
      <c r="AA253">
        <v>142.80000000000001</v>
      </c>
      <c r="AB253">
        <v>156.1</v>
      </c>
      <c r="AC253">
        <v>142.30000000000001</v>
      </c>
      <c r="AD253">
        <v>143.4</v>
      </c>
      <c r="AE253">
        <v>150.19999999999999</v>
      </c>
      <c r="AF253" t="str">
        <f>IF(AND(CPI_Data[[#This Row],[Date]]&gt;=DATE(2019,3,1),CPI_Data[[#This Row],[Date]]&lt;DATE(2020,3,1)),"Pre-COVID",IF(AND(CPI_Data[[#This Row],[Date]]&gt;=DATE(2020,3,1),CPI_Data[[#This Row],[Date]]&lt;DATE(2021,3,1)),"Post-COVID",""))</f>
        <v>Pre-COVID</v>
      </c>
    </row>
    <row r="254" spans="1:32" hidden="1" x14ac:dyDescent="0.25">
      <c r="A254" t="s">
        <v>30</v>
      </c>
      <c r="B254">
        <v>2020</v>
      </c>
      <c r="C254" s="1" t="s">
        <v>35</v>
      </c>
      <c r="D254" s="2">
        <f>DATE(CPI_Data[[#This Row],[Year]],MATCH(CPI_Data[[#This Row],[Month]],{"January","February","March","April","May","June","July","August","September","October","November","December"},0),1)</f>
        <v>43862</v>
      </c>
      <c r="E254">
        <v>144.19999999999999</v>
      </c>
      <c r="F254">
        <v>167.5</v>
      </c>
      <c r="G254">
        <v>150.9</v>
      </c>
      <c r="H254">
        <v>150.9</v>
      </c>
      <c r="I254">
        <v>133.69999999999999</v>
      </c>
      <c r="J254">
        <v>140.69999999999999</v>
      </c>
      <c r="K254">
        <v>165.1</v>
      </c>
      <c r="L254">
        <v>141.80000000000001</v>
      </c>
      <c r="M254">
        <v>113.1</v>
      </c>
      <c r="N254">
        <v>152.80000000000001</v>
      </c>
      <c r="O254">
        <v>140.1</v>
      </c>
      <c r="P254">
        <v>159.19999999999999</v>
      </c>
      <c r="Q254">
        <v>149.80000000000001</v>
      </c>
      <c r="R254">
        <v>169.4</v>
      </c>
      <c r="S254">
        <v>153</v>
      </c>
      <c r="T254">
        <v>147.5</v>
      </c>
      <c r="U254">
        <v>152.30000000000001</v>
      </c>
      <c r="V254" t="s">
        <v>32</v>
      </c>
      <c r="W254">
        <v>152.30000000000001</v>
      </c>
      <c r="X254">
        <v>151.80000000000001</v>
      </c>
      <c r="Y254">
        <v>156.19999999999999</v>
      </c>
      <c r="Z254">
        <v>136</v>
      </c>
      <c r="AA254">
        <v>150.4</v>
      </c>
      <c r="AB254">
        <v>161.9</v>
      </c>
      <c r="AC254">
        <v>143.4</v>
      </c>
      <c r="AD254">
        <v>148.4</v>
      </c>
      <c r="AE254">
        <v>150.4</v>
      </c>
      <c r="AF254" t="str">
        <f>IF(AND(CPI_Data[[#This Row],[Date]]&gt;=DATE(2019,3,1),CPI_Data[[#This Row],[Date]]&lt;DATE(2020,3,1)),"Pre-COVID",IF(AND(CPI_Data[[#This Row],[Date]]&gt;=DATE(2020,3,1),CPI_Data[[#This Row],[Date]]&lt;DATE(2021,3,1)),"Post-COVID",""))</f>
        <v>Pre-COVID</v>
      </c>
    </row>
    <row r="255" spans="1:32" hidden="1" x14ac:dyDescent="0.25">
      <c r="A255" t="s">
        <v>33</v>
      </c>
      <c r="B255">
        <v>2020</v>
      </c>
      <c r="C255" s="1" t="s">
        <v>35</v>
      </c>
      <c r="D255" s="2">
        <f>DATE(CPI_Data[[#This Row],[Year]],MATCH(CPI_Data[[#This Row],[Month]],{"January","February","March","April","May","June","July","August","September","October","November","December"},0),1)</f>
        <v>43862</v>
      </c>
      <c r="E255">
        <v>146.19999999999999</v>
      </c>
      <c r="F255">
        <v>167.6</v>
      </c>
      <c r="G255">
        <v>153.1</v>
      </c>
      <c r="H255">
        <v>150.69999999999999</v>
      </c>
      <c r="I255">
        <v>127.4</v>
      </c>
      <c r="J255">
        <v>143.1</v>
      </c>
      <c r="K255">
        <v>181.7</v>
      </c>
      <c r="L255">
        <v>139.6</v>
      </c>
      <c r="M255">
        <v>114.6</v>
      </c>
      <c r="N255">
        <v>150.4</v>
      </c>
      <c r="O255">
        <v>131.5</v>
      </c>
      <c r="P255">
        <v>159</v>
      </c>
      <c r="Q255">
        <v>151.69999999999999</v>
      </c>
      <c r="R255">
        <v>172</v>
      </c>
      <c r="S255">
        <v>147.30000000000001</v>
      </c>
      <c r="T255">
        <v>133.5</v>
      </c>
      <c r="U255">
        <v>145.19999999999999</v>
      </c>
      <c r="V255">
        <v>154.80000000000001</v>
      </c>
      <c r="W255">
        <v>138.9</v>
      </c>
      <c r="X255">
        <v>140.4</v>
      </c>
      <c r="Y255">
        <v>144.4</v>
      </c>
      <c r="Z255">
        <v>125.2</v>
      </c>
      <c r="AA255">
        <v>137.69999999999999</v>
      </c>
      <c r="AB255">
        <v>152.19999999999999</v>
      </c>
      <c r="AC255">
        <v>143.5</v>
      </c>
      <c r="AD255">
        <v>138.4</v>
      </c>
      <c r="AE255">
        <v>147.69999999999999</v>
      </c>
      <c r="AF255" t="str">
        <f>IF(AND(CPI_Data[[#This Row],[Date]]&gt;=DATE(2019,3,1),CPI_Data[[#This Row],[Date]]&lt;DATE(2020,3,1)),"Pre-COVID",IF(AND(CPI_Data[[#This Row],[Date]]&gt;=DATE(2020,3,1),CPI_Data[[#This Row],[Date]]&lt;DATE(2021,3,1)),"Post-COVID",""))</f>
        <v>Pre-COVID</v>
      </c>
    </row>
    <row r="256" spans="1:32" hidden="1" x14ac:dyDescent="0.25">
      <c r="A256" t="s">
        <v>34</v>
      </c>
      <c r="B256">
        <v>2020</v>
      </c>
      <c r="C256" s="1" t="s">
        <v>35</v>
      </c>
      <c r="D256" s="2">
        <f>DATE(CPI_Data[[#This Row],[Year]],MATCH(CPI_Data[[#This Row],[Month]],{"January","February","March","April","May","June","July","August","September","October","November","December"},0),1)</f>
        <v>43862</v>
      </c>
      <c r="E256">
        <v>144.80000000000001</v>
      </c>
      <c r="F256">
        <v>167.5</v>
      </c>
      <c r="G256">
        <v>151.80000000000001</v>
      </c>
      <c r="H256">
        <v>150.80000000000001</v>
      </c>
      <c r="I256">
        <v>131.4</v>
      </c>
      <c r="J256">
        <v>141.80000000000001</v>
      </c>
      <c r="K256">
        <v>170.7</v>
      </c>
      <c r="L256">
        <v>141.1</v>
      </c>
      <c r="M256">
        <v>113.6</v>
      </c>
      <c r="N256">
        <v>152</v>
      </c>
      <c r="O256">
        <v>136.5</v>
      </c>
      <c r="P256">
        <v>159.1</v>
      </c>
      <c r="Q256">
        <v>150.5</v>
      </c>
      <c r="R256">
        <v>170.1</v>
      </c>
      <c r="S256">
        <v>150.80000000000001</v>
      </c>
      <c r="T256">
        <v>141.69999999999999</v>
      </c>
      <c r="U256">
        <v>149.5</v>
      </c>
      <c r="V256">
        <v>154.80000000000001</v>
      </c>
      <c r="W256">
        <v>147.19999999999999</v>
      </c>
      <c r="X256">
        <v>146.4</v>
      </c>
      <c r="Y256">
        <v>151.69999999999999</v>
      </c>
      <c r="Z256">
        <v>130.30000000000001</v>
      </c>
      <c r="AA256">
        <v>143.19999999999999</v>
      </c>
      <c r="AB256">
        <v>156.19999999999999</v>
      </c>
      <c r="AC256">
        <v>143.4</v>
      </c>
      <c r="AD256">
        <v>143.6</v>
      </c>
      <c r="AE256">
        <v>149.1</v>
      </c>
      <c r="AF256" t="str">
        <f>IF(AND(CPI_Data[[#This Row],[Date]]&gt;=DATE(2019,3,1),CPI_Data[[#This Row],[Date]]&lt;DATE(2020,3,1)),"Pre-COVID",IF(AND(CPI_Data[[#This Row],[Date]]&gt;=DATE(2020,3,1),CPI_Data[[#This Row],[Date]]&lt;DATE(2021,3,1)),"Post-COVID",""))</f>
        <v>Pre-COVID</v>
      </c>
    </row>
    <row r="257" spans="1:32" hidden="1" x14ac:dyDescent="0.25">
      <c r="A257" t="s">
        <v>30</v>
      </c>
      <c r="B257">
        <v>2020</v>
      </c>
      <c r="C257" s="1" t="s">
        <v>36</v>
      </c>
      <c r="D257" s="2">
        <f>DATE(CPI_Data[[#This Row],[Year]],MATCH(CPI_Data[[#This Row],[Month]],{"January","February","March","April","May","June","July","August","September","October","November","December"},0),1)</f>
        <v>43891</v>
      </c>
      <c r="E257">
        <v>144.4</v>
      </c>
      <c r="F257">
        <v>166.8</v>
      </c>
      <c r="G257">
        <v>147.6</v>
      </c>
      <c r="H257">
        <v>151.69999999999999</v>
      </c>
      <c r="I257">
        <v>133.30000000000001</v>
      </c>
      <c r="J257">
        <v>141.80000000000001</v>
      </c>
      <c r="K257">
        <v>152.30000000000001</v>
      </c>
      <c r="L257">
        <v>141.80000000000001</v>
      </c>
      <c r="M257">
        <v>112.6</v>
      </c>
      <c r="N257">
        <v>154</v>
      </c>
      <c r="O257">
        <v>140.1</v>
      </c>
      <c r="P257">
        <v>160</v>
      </c>
      <c r="Q257">
        <v>148.19999999999999</v>
      </c>
      <c r="R257">
        <v>170.5</v>
      </c>
      <c r="S257">
        <v>153.4</v>
      </c>
      <c r="T257">
        <v>147.6</v>
      </c>
      <c r="U257">
        <v>152.5</v>
      </c>
      <c r="V257" t="s">
        <v>32</v>
      </c>
      <c r="W257">
        <v>153.4</v>
      </c>
      <c r="X257">
        <v>151.5</v>
      </c>
      <c r="Y257">
        <v>156.69999999999999</v>
      </c>
      <c r="Z257">
        <v>135.80000000000001</v>
      </c>
      <c r="AA257">
        <v>151.19999999999999</v>
      </c>
      <c r="AB257">
        <v>161.19999999999999</v>
      </c>
      <c r="AC257">
        <v>145.1</v>
      </c>
      <c r="AD257">
        <v>148.6</v>
      </c>
      <c r="AE257">
        <v>149.80000000000001</v>
      </c>
      <c r="AF257" t="str">
        <f>IF(AND(CPI_Data[[#This Row],[Date]]&gt;=DATE(2019,3,1),CPI_Data[[#This Row],[Date]]&lt;DATE(2020,3,1)),"Pre-COVID",IF(AND(CPI_Data[[#This Row],[Date]]&gt;=DATE(2020,3,1),CPI_Data[[#This Row],[Date]]&lt;DATE(2021,3,1)),"Post-COVID",""))</f>
        <v>Post-COVID</v>
      </c>
    </row>
    <row r="258" spans="1:32" hidden="1" x14ac:dyDescent="0.25">
      <c r="A258" t="s">
        <v>33</v>
      </c>
      <c r="B258">
        <v>2020</v>
      </c>
      <c r="C258" s="1" t="s">
        <v>36</v>
      </c>
      <c r="D258" s="2">
        <f>DATE(CPI_Data[[#This Row],[Year]],MATCH(CPI_Data[[#This Row],[Month]],{"January","February","March","April","May","June","July","August","September","October","November","December"},0),1)</f>
        <v>43891</v>
      </c>
      <c r="E258">
        <v>146.5</v>
      </c>
      <c r="F258">
        <v>167.5</v>
      </c>
      <c r="G258">
        <v>148.9</v>
      </c>
      <c r="H258">
        <v>151.1</v>
      </c>
      <c r="I258">
        <v>127.5</v>
      </c>
      <c r="J258">
        <v>143.30000000000001</v>
      </c>
      <c r="K258">
        <v>167</v>
      </c>
      <c r="L258">
        <v>139.69999999999999</v>
      </c>
      <c r="M258">
        <v>114.4</v>
      </c>
      <c r="N258">
        <v>151.5</v>
      </c>
      <c r="O258">
        <v>131.9</v>
      </c>
      <c r="P258">
        <v>159.1</v>
      </c>
      <c r="Q258">
        <v>150.1</v>
      </c>
      <c r="R258">
        <v>173.3</v>
      </c>
      <c r="S258">
        <v>147.69999999999999</v>
      </c>
      <c r="T258">
        <v>133.80000000000001</v>
      </c>
      <c r="U258">
        <v>145.6</v>
      </c>
      <c r="V258">
        <v>154.5</v>
      </c>
      <c r="W258">
        <v>141.4</v>
      </c>
      <c r="X258">
        <v>140.80000000000001</v>
      </c>
      <c r="Y258">
        <v>145</v>
      </c>
      <c r="Z258">
        <v>124.6</v>
      </c>
      <c r="AA258">
        <v>137.9</v>
      </c>
      <c r="AB258">
        <v>152.5</v>
      </c>
      <c r="AC258">
        <v>145.30000000000001</v>
      </c>
      <c r="AD258">
        <v>138.69999999999999</v>
      </c>
      <c r="AE258">
        <v>147.30000000000001</v>
      </c>
      <c r="AF258" t="str">
        <f>IF(AND(CPI_Data[[#This Row],[Date]]&gt;=DATE(2019,3,1),CPI_Data[[#This Row],[Date]]&lt;DATE(2020,3,1)),"Pre-COVID",IF(AND(CPI_Data[[#This Row],[Date]]&gt;=DATE(2020,3,1),CPI_Data[[#This Row],[Date]]&lt;DATE(2021,3,1)),"Post-COVID",""))</f>
        <v>Post-COVID</v>
      </c>
    </row>
    <row r="259" spans="1:32" hidden="1" x14ac:dyDescent="0.25">
      <c r="A259" t="s">
        <v>34</v>
      </c>
      <c r="B259">
        <v>2020</v>
      </c>
      <c r="C259" s="1" t="s">
        <v>36</v>
      </c>
      <c r="D259" s="2">
        <f>DATE(CPI_Data[[#This Row],[Year]],MATCH(CPI_Data[[#This Row],[Month]],{"January","February","March","April","May","June","July","August","September","October","November","December"},0),1)</f>
        <v>43891</v>
      </c>
      <c r="E259">
        <v>145.1</v>
      </c>
      <c r="F259">
        <v>167</v>
      </c>
      <c r="G259">
        <v>148.1</v>
      </c>
      <c r="H259">
        <v>151.5</v>
      </c>
      <c r="I259">
        <v>131.19999999999999</v>
      </c>
      <c r="J259">
        <v>142.5</v>
      </c>
      <c r="K259">
        <v>157.30000000000001</v>
      </c>
      <c r="L259">
        <v>141.1</v>
      </c>
      <c r="M259">
        <v>113.2</v>
      </c>
      <c r="N259">
        <v>153.19999999999999</v>
      </c>
      <c r="O259">
        <v>136.69999999999999</v>
      </c>
      <c r="P259">
        <v>159.6</v>
      </c>
      <c r="Q259">
        <v>148.9</v>
      </c>
      <c r="R259">
        <v>171.2</v>
      </c>
      <c r="S259">
        <v>151.19999999999999</v>
      </c>
      <c r="T259">
        <v>141.9</v>
      </c>
      <c r="U259">
        <v>149.80000000000001</v>
      </c>
      <c r="V259">
        <v>154.5</v>
      </c>
      <c r="W259">
        <v>148.9</v>
      </c>
      <c r="X259">
        <v>146.4</v>
      </c>
      <c r="Y259">
        <v>152.30000000000001</v>
      </c>
      <c r="Z259">
        <v>129.9</v>
      </c>
      <c r="AA259">
        <v>143.69999999999999</v>
      </c>
      <c r="AB259">
        <v>156.1</v>
      </c>
      <c r="AC259">
        <v>145.19999999999999</v>
      </c>
      <c r="AD259">
        <v>143.80000000000001</v>
      </c>
      <c r="AE259">
        <v>148.6</v>
      </c>
      <c r="AF259" t="str">
        <f>IF(AND(CPI_Data[[#This Row],[Date]]&gt;=DATE(2019,3,1),CPI_Data[[#This Row],[Date]]&lt;DATE(2020,3,1)),"Pre-COVID",IF(AND(CPI_Data[[#This Row],[Date]]&gt;=DATE(2020,3,1),CPI_Data[[#This Row],[Date]]&lt;DATE(2021,3,1)),"Post-COVID",""))</f>
        <v>Post-COVID</v>
      </c>
    </row>
    <row r="260" spans="1:32" hidden="1" x14ac:dyDescent="0.25">
      <c r="A260" t="s">
        <v>30</v>
      </c>
      <c r="B260">
        <v>2020</v>
      </c>
      <c r="C260" s="1" t="s">
        <v>37</v>
      </c>
      <c r="D260" s="2">
        <f>DATE(CPI_Data[[#This Row],[Year]],MATCH(CPI_Data[[#This Row],[Month]],{"January","February","March","April","May","June","July","August","September","October","November","December"},0),1)</f>
        <v>43922</v>
      </c>
      <c r="E260">
        <v>147.19999999999999</v>
      </c>
      <c r="F260" t="s">
        <v>32</v>
      </c>
      <c r="G260">
        <v>146.9</v>
      </c>
      <c r="H260">
        <v>155.6</v>
      </c>
      <c r="I260">
        <v>137.1</v>
      </c>
      <c r="J260">
        <v>147.30000000000001</v>
      </c>
      <c r="K260">
        <v>162.69999999999999</v>
      </c>
      <c r="L260">
        <v>150.19999999999999</v>
      </c>
      <c r="M260">
        <v>119.8</v>
      </c>
      <c r="N260">
        <v>158.69999999999999</v>
      </c>
      <c r="O260">
        <v>139.19999999999999</v>
      </c>
      <c r="P260" t="s">
        <v>32</v>
      </c>
      <c r="Q260">
        <v>150.1</v>
      </c>
      <c r="R260" t="s">
        <v>32</v>
      </c>
      <c r="S260" t="s">
        <v>32</v>
      </c>
      <c r="T260" t="s">
        <v>32</v>
      </c>
      <c r="U260" t="s">
        <v>32</v>
      </c>
      <c r="V260" t="s">
        <v>32</v>
      </c>
      <c r="W260">
        <v>148.4</v>
      </c>
      <c r="X260" t="s">
        <v>32</v>
      </c>
      <c r="Y260">
        <v>154.30000000000001</v>
      </c>
      <c r="Z260" t="s">
        <v>32</v>
      </c>
      <c r="AA260" t="s">
        <v>32</v>
      </c>
      <c r="AB260" t="s">
        <v>32</v>
      </c>
      <c r="AC260" t="s">
        <v>32</v>
      </c>
      <c r="AD260" t="s">
        <v>32</v>
      </c>
      <c r="AE260" t="s">
        <v>32</v>
      </c>
      <c r="AF260" t="str">
        <f>IF(AND(CPI_Data[[#This Row],[Date]]&gt;=DATE(2019,3,1),CPI_Data[[#This Row],[Date]]&lt;DATE(2020,3,1)),"Pre-COVID",IF(AND(CPI_Data[[#This Row],[Date]]&gt;=DATE(2020,3,1),CPI_Data[[#This Row],[Date]]&lt;DATE(2021,3,1)),"Post-COVID",""))</f>
        <v>Post-COVID</v>
      </c>
    </row>
    <row r="261" spans="1:32" hidden="1" x14ac:dyDescent="0.25">
      <c r="A261" t="s">
        <v>33</v>
      </c>
      <c r="B261">
        <v>2020</v>
      </c>
      <c r="C261" s="1" t="s">
        <v>37</v>
      </c>
      <c r="D261" s="2">
        <f>DATE(CPI_Data[[#This Row],[Year]],MATCH(CPI_Data[[#This Row],[Month]],{"January","February","March","April","May","June","July","August","September","October","November","December"},0),1)</f>
        <v>43922</v>
      </c>
      <c r="E261">
        <v>151.80000000000001</v>
      </c>
      <c r="F261" t="s">
        <v>32</v>
      </c>
      <c r="G261">
        <v>151.9</v>
      </c>
      <c r="H261">
        <v>155.5</v>
      </c>
      <c r="I261">
        <v>131.6</v>
      </c>
      <c r="J261">
        <v>152.9</v>
      </c>
      <c r="K261">
        <v>180</v>
      </c>
      <c r="L261">
        <v>150.80000000000001</v>
      </c>
      <c r="M261">
        <v>121.2</v>
      </c>
      <c r="N261">
        <v>154</v>
      </c>
      <c r="O261">
        <v>133.5</v>
      </c>
      <c r="P261" t="s">
        <v>32</v>
      </c>
      <c r="Q261">
        <v>153.5</v>
      </c>
      <c r="R261" t="s">
        <v>32</v>
      </c>
      <c r="S261" t="s">
        <v>32</v>
      </c>
      <c r="T261" t="s">
        <v>32</v>
      </c>
      <c r="U261" t="s">
        <v>32</v>
      </c>
      <c r="V261">
        <v>155.6</v>
      </c>
      <c r="W261">
        <v>137.1</v>
      </c>
      <c r="X261" t="s">
        <v>32</v>
      </c>
      <c r="Y261">
        <v>144.80000000000001</v>
      </c>
      <c r="Z261" t="s">
        <v>32</v>
      </c>
      <c r="AA261" t="s">
        <v>32</v>
      </c>
      <c r="AB261" t="s">
        <v>32</v>
      </c>
      <c r="AC261" t="s">
        <v>32</v>
      </c>
      <c r="AD261" t="s">
        <v>32</v>
      </c>
      <c r="AE261" t="s">
        <v>32</v>
      </c>
      <c r="AF261" t="str">
        <f>IF(AND(CPI_Data[[#This Row],[Date]]&gt;=DATE(2019,3,1),CPI_Data[[#This Row],[Date]]&lt;DATE(2020,3,1)),"Pre-COVID",IF(AND(CPI_Data[[#This Row],[Date]]&gt;=DATE(2020,3,1),CPI_Data[[#This Row],[Date]]&lt;DATE(2021,3,1)),"Post-COVID",""))</f>
        <v>Post-COVID</v>
      </c>
    </row>
    <row r="262" spans="1:32" hidden="1" x14ac:dyDescent="0.25">
      <c r="A262" t="s">
        <v>34</v>
      </c>
      <c r="B262">
        <v>2020</v>
      </c>
      <c r="C262" s="1" t="s">
        <v>37</v>
      </c>
      <c r="D262" s="2">
        <f>DATE(CPI_Data[[#This Row],[Year]],MATCH(CPI_Data[[#This Row],[Month]],{"January","February","March","April","May","June","July","August","September","October","November","December"},0),1)</f>
        <v>43922</v>
      </c>
      <c r="E262">
        <v>148.69999999999999</v>
      </c>
      <c r="F262" t="s">
        <v>32</v>
      </c>
      <c r="G262">
        <v>148.80000000000001</v>
      </c>
      <c r="H262">
        <v>155.6</v>
      </c>
      <c r="I262">
        <v>135.1</v>
      </c>
      <c r="J262">
        <v>149.9</v>
      </c>
      <c r="K262">
        <v>168.6</v>
      </c>
      <c r="L262">
        <v>150.4</v>
      </c>
      <c r="M262">
        <v>120.3</v>
      </c>
      <c r="N262">
        <v>157.1</v>
      </c>
      <c r="O262">
        <v>136.80000000000001</v>
      </c>
      <c r="P262" t="s">
        <v>32</v>
      </c>
      <c r="Q262">
        <v>151.4</v>
      </c>
      <c r="R262" t="s">
        <v>32</v>
      </c>
      <c r="S262" t="s">
        <v>32</v>
      </c>
      <c r="T262" t="s">
        <v>32</v>
      </c>
      <c r="U262" t="s">
        <v>32</v>
      </c>
      <c r="V262">
        <v>155.6</v>
      </c>
      <c r="W262">
        <v>144.1</v>
      </c>
      <c r="X262" t="s">
        <v>32</v>
      </c>
      <c r="Y262">
        <v>150.69999999999999</v>
      </c>
      <c r="Z262" t="s">
        <v>32</v>
      </c>
      <c r="AA262" t="s">
        <v>32</v>
      </c>
      <c r="AB262" t="s">
        <v>32</v>
      </c>
      <c r="AC262" t="s">
        <v>32</v>
      </c>
      <c r="AD262" t="s">
        <v>32</v>
      </c>
      <c r="AE262" t="s">
        <v>32</v>
      </c>
      <c r="AF262" t="str">
        <f>IF(AND(CPI_Data[[#This Row],[Date]]&gt;=DATE(2019,3,1),CPI_Data[[#This Row],[Date]]&lt;DATE(2020,3,1)),"Pre-COVID",IF(AND(CPI_Data[[#This Row],[Date]]&gt;=DATE(2020,3,1),CPI_Data[[#This Row],[Date]]&lt;DATE(2021,3,1)),"Post-COVID",""))</f>
        <v>Post-COVID</v>
      </c>
    </row>
    <row r="263" spans="1:32" hidden="1" x14ac:dyDescent="0.25">
      <c r="A263" t="s">
        <v>30</v>
      </c>
      <c r="B263">
        <v>2020</v>
      </c>
      <c r="C263" s="1" t="s">
        <v>38</v>
      </c>
      <c r="D263" s="2">
        <f>DATE(CPI_Data[[#This Row],[Year]],MATCH(CPI_Data[[#This Row],[Month]],{"January","February","March","April","May","June","July","August","September","October","November","December"},0),1)</f>
        <v>43952</v>
      </c>
      <c r="E263" t="s">
        <v>32</v>
      </c>
      <c r="F263" t="s">
        <v>32</v>
      </c>
      <c r="G263" t="s">
        <v>32</v>
      </c>
      <c r="H263" t="s">
        <v>32</v>
      </c>
      <c r="I263" t="s">
        <v>32</v>
      </c>
      <c r="J263" t="s">
        <v>32</v>
      </c>
      <c r="K263" t="s">
        <v>32</v>
      </c>
      <c r="L263" t="s">
        <v>32</v>
      </c>
      <c r="M263" t="s">
        <v>32</v>
      </c>
      <c r="N263" t="s">
        <v>32</v>
      </c>
      <c r="O263" t="s">
        <v>32</v>
      </c>
      <c r="P263" t="s">
        <v>32</v>
      </c>
      <c r="Q263" t="s">
        <v>32</v>
      </c>
      <c r="R263" t="s">
        <v>32</v>
      </c>
      <c r="S263" t="s">
        <v>32</v>
      </c>
      <c r="T263" t="s">
        <v>32</v>
      </c>
      <c r="U263" t="s">
        <v>32</v>
      </c>
      <c r="V263" t="s">
        <v>32</v>
      </c>
      <c r="W263" t="s">
        <v>32</v>
      </c>
      <c r="X263" t="s">
        <v>32</v>
      </c>
      <c r="Y263" t="s">
        <v>32</v>
      </c>
      <c r="Z263" t="s">
        <v>32</v>
      </c>
      <c r="AA263" t="s">
        <v>32</v>
      </c>
      <c r="AB263" t="s">
        <v>32</v>
      </c>
      <c r="AC263" t="s">
        <v>32</v>
      </c>
      <c r="AD263" t="s">
        <v>32</v>
      </c>
      <c r="AE263" t="s">
        <v>32</v>
      </c>
      <c r="AF263" t="str">
        <f>IF(AND(CPI_Data[[#This Row],[Date]]&gt;=DATE(2019,3,1),CPI_Data[[#This Row],[Date]]&lt;DATE(2020,3,1)),"Pre-COVID",IF(AND(CPI_Data[[#This Row],[Date]]&gt;=DATE(2020,3,1),CPI_Data[[#This Row],[Date]]&lt;DATE(2021,3,1)),"Post-COVID",""))</f>
        <v>Post-COVID</v>
      </c>
    </row>
    <row r="264" spans="1:32" hidden="1" x14ac:dyDescent="0.25">
      <c r="A264" t="s">
        <v>33</v>
      </c>
      <c r="B264">
        <v>2020</v>
      </c>
      <c r="C264" s="1" t="s">
        <v>38</v>
      </c>
      <c r="D264" s="2">
        <f>DATE(CPI_Data[[#This Row],[Year]],MATCH(CPI_Data[[#This Row],[Month]],{"January","February","March","April","May","June","July","August","September","October","November","December"},0),1)</f>
        <v>43952</v>
      </c>
      <c r="E264" t="s">
        <v>32</v>
      </c>
      <c r="F264" t="s">
        <v>32</v>
      </c>
      <c r="G264" t="s">
        <v>32</v>
      </c>
      <c r="H264" t="s">
        <v>32</v>
      </c>
      <c r="I264" t="s">
        <v>32</v>
      </c>
      <c r="J264" t="s">
        <v>32</v>
      </c>
      <c r="K264" t="s">
        <v>32</v>
      </c>
      <c r="L264" t="s">
        <v>32</v>
      </c>
      <c r="M264" t="s">
        <v>32</v>
      </c>
      <c r="N264" t="s">
        <v>32</v>
      </c>
      <c r="O264" t="s">
        <v>32</v>
      </c>
      <c r="P264" t="s">
        <v>32</v>
      </c>
      <c r="Q264" t="s">
        <v>32</v>
      </c>
      <c r="R264" t="s">
        <v>32</v>
      </c>
      <c r="S264" t="s">
        <v>32</v>
      </c>
      <c r="T264" t="s">
        <v>32</v>
      </c>
      <c r="U264" t="s">
        <v>32</v>
      </c>
      <c r="V264" t="s">
        <v>32</v>
      </c>
      <c r="W264" t="s">
        <v>32</v>
      </c>
      <c r="X264" t="s">
        <v>32</v>
      </c>
      <c r="Y264" t="s">
        <v>32</v>
      </c>
      <c r="Z264" t="s">
        <v>32</v>
      </c>
      <c r="AA264" t="s">
        <v>32</v>
      </c>
      <c r="AB264" t="s">
        <v>32</v>
      </c>
      <c r="AC264" t="s">
        <v>32</v>
      </c>
      <c r="AD264" t="s">
        <v>32</v>
      </c>
      <c r="AE264" t="s">
        <v>32</v>
      </c>
      <c r="AF264" t="str">
        <f>IF(AND(CPI_Data[[#This Row],[Date]]&gt;=DATE(2019,3,1),CPI_Data[[#This Row],[Date]]&lt;DATE(2020,3,1)),"Pre-COVID",IF(AND(CPI_Data[[#This Row],[Date]]&gt;=DATE(2020,3,1),CPI_Data[[#This Row],[Date]]&lt;DATE(2021,3,1)),"Post-COVID",""))</f>
        <v>Post-COVID</v>
      </c>
    </row>
    <row r="265" spans="1:32" hidden="1" x14ac:dyDescent="0.25">
      <c r="A265" t="s">
        <v>34</v>
      </c>
      <c r="B265">
        <v>2020</v>
      </c>
      <c r="C265" s="1" t="s">
        <v>38</v>
      </c>
      <c r="D265" s="2">
        <f>DATE(CPI_Data[[#This Row],[Year]],MATCH(CPI_Data[[#This Row],[Month]],{"January","February","March","April","May","June","July","August","September","October","November","December"},0),1)</f>
        <v>43952</v>
      </c>
      <c r="E265" t="s">
        <v>32</v>
      </c>
      <c r="F265" t="s">
        <v>32</v>
      </c>
      <c r="G265" t="s">
        <v>32</v>
      </c>
      <c r="H265" t="s">
        <v>32</v>
      </c>
      <c r="I265" t="s">
        <v>32</v>
      </c>
      <c r="J265" t="s">
        <v>32</v>
      </c>
      <c r="K265" t="s">
        <v>32</v>
      </c>
      <c r="L265" t="s">
        <v>32</v>
      </c>
      <c r="M265" t="s">
        <v>32</v>
      </c>
      <c r="N265" t="s">
        <v>32</v>
      </c>
      <c r="O265" t="s">
        <v>32</v>
      </c>
      <c r="P265" t="s">
        <v>32</v>
      </c>
      <c r="Q265" t="s">
        <v>32</v>
      </c>
      <c r="R265" t="s">
        <v>32</v>
      </c>
      <c r="S265" t="s">
        <v>32</v>
      </c>
      <c r="T265" t="s">
        <v>32</v>
      </c>
      <c r="U265" t="s">
        <v>32</v>
      </c>
      <c r="V265" t="s">
        <v>32</v>
      </c>
      <c r="W265" t="s">
        <v>32</v>
      </c>
      <c r="X265" t="s">
        <v>32</v>
      </c>
      <c r="Y265" t="s">
        <v>32</v>
      </c>
      <c r="Z265" t="s">
        <v>32</v>
      </c>
      <c r="AA265" t="s">
        <v>32</v>
      </c>
      <c r="AB265" t="s">
        <v>32</v>
      </c>
      <c r="AC265" t="s">
        <v>32</v>
      </c>
      <c r="AD265" t="s">
        <v>32</v>
      </c>
      <c r="AE265" t="s">
        <v>32</v>
      </c>
      <c r="AF265" t="str">
        <f>IF(AND(CPI_Data[[#This Row],[Date]]&gt;=DATE(2019,3,1),CPI_Data[[#This Row],[Date]]&lt;DATE(2020,3,1)),"Pre-COVID",IF(AND(CPI_Data[[#This Row],[Date]]&gt;=DATE(2020,3,1),CPI_Data[[#This Row],[Date]]&lt;DATE(2021,3,1)),"Post-COVID",""))</f>
        <v>Post-COVID</v>
      </c>
    </row>
    <row r="266" spans="1:32" hidden="1" x14ac:dyDescent="0.25">
      <c r="A266" t="s">
        <v>30</v>
      </c>
      <c r="B266">
        <v>2020</v>
      </c>
      <c r="C266" s="1" t="s">
        <v>39</v>
      </c>
      <c r="D266" s="2">
        <f>DATE(CPI_Data[[#This Row],[Year]],MATCH(CPI_Data[[#This Row],[Month]],{"January","February","March","April","May","June","July","August","September","October","November","December"},0),1)</f>
        <v>43983</v>
      </c>
      <c r="E266">
        <v>148.19999999999999</v>
      </c>
      <c r="F266">
        <v>190.3</v>
      </c>
      <c r="G266">
        <v>149.4</v>
      </c>
      <c r="H266">
        <v>153.30000000000001</v>
      </c>
      <c r="I266">
        <v>138.19999999999999</v>
      </c>
      <c r="J266">
        <v>143.19999999999999</v>
      </c>
      <c r="K266">
        <v>148.9</v>
      </c>
      <c r="L266">
        <v>150.30000000000001</v>
      </c>
      <c r="M266">
        <v>113.2</v>
      </c>
      <c r="N266">
        <v>159.80000000000001</v>
      </c>
      <c r="O266">
        <v>142.1</v>
      </c>
      <c r="P266">
        <v>161.80000000000001</v>
      </c>
      <c r="Q266">
        <v>152.30000000000001</v>
      </c>
      <c r="R266">
        <v>182.4</v>
      </c>
      <c r="S266">
        <v>154.69999999999999</v>
      </c>
      <c r="T266">
        <v>150</v>
      </c>
      <c r="U266">
        <v>154.1</v>
      </c>
      <c r="V266" t="s">
        <v>32</v>
      </c>
      <c r="W266">
        <v>144.9</v>
      </c>
      <c r="X266">
        <v>151.69999999999999</v>
      </c>
      <c r="Y266">
        <v>158.19999999999999</v>
      </c>
      <c r="Z266">
        <v>141.4</v>
      </c>
      <c r="AA266">
        <v>153.19999999999999</v>
      </c>
      <c r="AB266">
        <v>161.80000000000001</v>
      </c>
      <c r="AC266">
        <v>151.19999999999999</v>
      </c>
      <c r="AD266">
        <v>151.69999999999999</v>
      </c>
      <c r="AE266">
        <v>152.69999999999999</v>
      </c>
      <c r="AF266" t="str">
        <f>IF(AND(CPI_Data[[#This Row],[Date]]&gt;=DATE(2019,3,1),CPI_Data[[#This Row],[Date]]&lt;DATE(2020,3,1)),"Pre-COVID",IF(AND(CPI_Data[[#This Row],[Date]]&gt;=DATE(2020,3,1),CPI_Data[[#This Row],[Date]]&lt;DATE(2021,3,1)),"Post-COVID",""))</f>
        <v>Post-COVID</v>
      </c>
    </row>
    <row r="267" spans="1:32" hidden="1" x14ac:dyDescent="0.25">
      <c r="A267" t="s">
        <v>33</v>
      </c>
      <c r="B267">
        <v>2020</v>
      </c>
      <c r="C267" s="1" t="s">
        <v>39</v>
      </c>
      <c r="D267" s="2">
        <f>DATE(CPI_Data[[#This Row],[Year]],MATCH(CPI_Data[[#This Row],[Month]],{"January","February","March","April","May","June","July","August","September","October","November","December"},0),1)</f>
        <v>43983</v>
      </c>
      <c r="E267">
        <v>152.69999999999999</v>
      </c>
      <c r="F267">
        <v>197</v>
      </c>
      <c r="G267">
        <v>154.6</v>
      </c>
      <c r="H267">
        <v>153.4</v>
      </c>
      <c r="I267">
        <v>132.9</v>
      </c>
      <c r="J267">
        <v>151.80000000000001</v>
      </c>
      <c r="K267">
        <v>171.2</v>
      </c>
      <c r="L267">
        <v>152</v>
      </c>
      <c r="M267">
        <v>116.3</v>
      </c>
      <c r="N267">
        <v>158.80000000000001</v>
      </c>
      <c r="O267">
        <v>135.6</v>
      </c>
      <c r="P267">
        <v>161.69999999999999</v>
      </c>
      <c r="Q267">
        <v>157</v>
      </c>
      <c r="R267">
        <v>186.7</v>
      </c>
      <c r="S267">
        <v>149.1</v>
      </c>
      <c r="T267">
        <v>136.6</v>
      </c>
      <c r="U267">
        <v>147.19999999999999</v>
      </c>
      <c r="V267">
        <v>154.69999999999999</v>
      </c>
      <c r="W267">
        <v>137.1</v>
      </c>
      <c r="X267">
        <v>140.4</v>
      </c>
      <c r="Y267">
        <v>148.1</v>
      </c>
      <c r="Z267">
        <v>129.30000000000001</v>
      </c>
      <c r="AA267">
        <v>144.5</v>
      </c>
      <c r="AB267">
        <v>152.5</v>
      </c>
      <c r="AC267">
        <v>152.19999999999999</v>
      </c>
      <c r="AD267">
        <v>142</v>
      </c>
      <c r="AE267">
        <v>150.80000000000001</v>
      </c>
      <c r="AF267" t="str">
        <f>IF(AND(CPI_Data[[#This Row],[Date]]&gt;=DATE(2019,3,1),CPI_Data[[#This Row],[Date]]&lt;DATE(2020,3,1)),"Pre-COVID",IF(AND(CPI_Data[[#This Row],[Date]]&gt;=DATE(2020,3,1),CPI_Data[[#This Row],[Date]]&lt;DATE(2021,3,1)),"Post-COVID",""))</f>
        <v>Post-COVID</v>
      </c>
    </row>
    <row r="268" spans="1:32" hidden="1" x14ac:dyDescent="0.25">
      <c r="A268" t="s">
        <v>34</v>
      </c>
      <c r="B268">
        <v>2020</v>
      </c>
      <c r="C268" s="1" t="s">
        <v>39</v>
      </c>
      <c r="D268" s="2">
        <f>DATE(CPI_Data[[#This Row],[Year]],MATCH(CPI_Data[[#This Row],[Month]],{"January","February","March","April","May","June","July","August","September","October","November","December"},0),1)</f>
        <v>43983</v>
      </c>
      <c r="E268">
        <v>149.6</v>
      </c>
      <c r="F268">
        <v>192.7</v>
      </c>
      <c r="G268">
        <v>151.4</v>
      </c>
      <c r="H268">
        <v>153.30000000000001</v>
      </c>
      <c r="I268">
        <v>136.30000000000001</v>
      </c>
      <c r="J268">
        <v>147.19999999999999</v>
      </c>
      <c r="K268">
        <v>156.5</v>
      </c>
      <c r="L268">
        <v>150.9</v>
      </c>
      <c r="M268">
        <v>114.2</v>
      </c>
      <c r="N268">
        <v>159.5</v>
      </c>
      <c r="O268">
        <v>139.4</v>
      </c>
      <c r="P268">
        <v>161.80000000000001</v>
      </c>
      <c r="Q268">
        <v>154</v>
      </c>
      <c r="R268">
        <v>183.5</v>
      </c>
      <c r="S268">
        <v>152.5</v>
      </c>
      <c r="T268">
        <v>144.4</v>
      </c>
      <c r="U268">
        <v>151.4</v>
      </c>
      <c r="V268">
        <v>154.69999999999999</v>
      </c>
      <c r="W268">
        <v>141.9</v>
      </c>
      <c r="X268">
        <v>146.4</v>
      </c>
      <c r="Y268">
        <v>154.4</v>
      </c>
      <c r="Z268">
        <v>135</v>
      </c>
      <c r="AA268">
        <v>148.30000000000001</v>
      </c>
      <c r="AB268">
        <v>156.4</v>
      </c>
      <c r="AC268">
        <v>151.6</v>
      </c>
      <c r="AD268">
        <v>147</v>
      </c>
      <c r="AE268">
        <v>151.80000000000001</v>
      </c>
      <c r="AF268" t="str">
        <f>IF(AND(CPI_Data[[#This Row],[Date]]&gt;=DATE(2019,3,1),CPI_Data[[#This Row],[Date]]&lt;DATE(2020,3,1)),"Pre-COVID",IF(AND(CPI_Data[[#This Row],[Date]]&gt;=DATE(2020,3,1),CPI_Data[[#This Row],[Date]]&lt;DATE(2021,3,1)),"Post-COVID",""))</f>
        <v>Post-COVID</v>
      </c>
    </row>
    <row r="269" spans="1:32" hidden="1" x14ac:dyDescent="0.25">
      <c r="A269" t="s">
        <v>30</v>
      </c>
      <c r="B269">
        <v>2020</v>
      </c>
      <c r="C269" s="1" t="s">
        <v>40</v>
      </c>
      <c r="D269" s="2">
        <f>DATE(CPI_Data[[#This Row],[Year]],MATCH(CPI_Data[[#This Row],[Month]],{"January","February","March","April","May","June","July","August","September","October","November","December"},0),1)</f>
        <v>44013</v>
      </c>
      <c r="E269">
        <v>148.19999999999999</v>
      </c>
      <c r="F269">
        <v>190.3</v>
      </c>
      <c r="G269">
        <v>149.4</v>
      </c>
      <c r="H269">
        <v>153.30000000000001</v>
      </c>
      <c r="I269">
        <v>138.19999999999999</v>
      </c>
      <c r="J269">
        <v>143.19999999999999</v>
      </c>
      <c r="K269">
        <v>148.9</v>
      </c>
      <c r="L269">
        <v>150.30000000000001</v>
      </c>
      <c r="M269">
        <v>113.2</v>
      </c>
      <c r="N269">
        <v>159.80000000000001</v>
      </c>
      <c r="O269">
        <v>142.1</v>
      </c>
      <c r="P269">
        <v>161.80000000000001</v>
      </c>
      <c r="Q269">
        <v>152.30000000000001</v>
      </c>
      <c r="R269">
        <v>182.4</v>
      </c>
      <c r="S269">
        <v>154.69999999999999</v>
      </c>
      <c r="T269">
        <v>150</v>
      </c>
      <c r="U269">
        <v>154.1</v>
      </c>
      <c r="V269" t="s">
        <v>32</v>
      </c>
      <c r="W269">
        <v>144.9</v>
      </c>
      <c r="X269">
        <v>151.69999999999999</v>
      </c>
      <c r="Y269">
        <v>158.19999999999999</v>
      </c>
      <c r="Z269">
        <v>141.4</v>
      </c>
      <c r="AA269">
        <v>153.19999999999999</v>
      </c>
      <c r="AB269">
        <v>161.80000000000001</v>
      </c>
      <c r="AC269">
        <v>151.19999999999999</v>
      </c>
      <c r="AD269">
        <v>151.69999999999999</v>
      </c>
      <c r="AE269">
        <v>152.69999999999999</v>
      </c>
      <c r="AF269" t="str">
        <f>IF(AND(CPI_Data[[#This Row],[Date]]&gt;=DATE(2019,3,1),CPI_Data[[#This Row],[Date]]&lt;DATE(2020,3,1)),"Pre-COVID",IF(AND(CPI_Data[[#This Row],[Date]]&gt;=DATE(2020,3,1),CPI_Data[[#This Row],[Date]]&lt;DATE(2021,3,1)),"Post-COVID",""))</f>
        <v>Post-COVID</v>
      </c>
    </row>
    <row r="270" spans="1:32" hidden="1" x14ac:dyDescent="0.25">
      <c r="A270" t="s">
        <v>33</v>
      </c>
      <c r="B270">
        <v>2020</v>
      </c>
      <c r="C270" s="1" t="s">
        <v>40</v>
      </c>
      <c r="D270" s="2">
        <f>DATE(CPI_Data[[#This Row],[Year]],MATCH(CPI_Data[[#This Row],[Month]],{"January","February","March","April","May","June","July","August","September","October","November","December"},0),1)</f>
        <v>44013</v>
      </c>
      <c r="E270">
        <v>152.69999999999999</v>
      </c>
      <c r="F270">
        <v>197</v>
      </c>
      <c r="G270">
        <v>154.6</v>
      </c>
      <c r="H270">
        <v>153.4</v>
      </c>
      <c r="I270">
        <v>132.9</v>
      </c>
      <c r="J270">
        <v>151.80000000000001</v>
      </c>
      <c r="K270">
        <v>171.2</v>
      </c>
      <c r="L270">
        <v>152</v>
      </c>
      <c r="M270">
        <v>116.3</v>
      </c>
      <c r="N270">
        <v>158.80000000000001</v>
      </c>
      <c r="O270">
        <v>135.6</v>
      </c>
      <c r="P270">
        <v>161.69999999999999</v>
      </c>
      <c r="Q270">
        <v>157</v>
      </c>
      <c r="R270">
        <v>186.7</v>
      </c>
      <c r="S270">
        <v>149.1</v>
      </c>
      <c r="T270">
        <v>136.6</v>
      </c>
      <c r="U270">
        <v>147.19999999999999</v>
      </c>
      <c r="V270">
        <v>154.69999999999999</v>
      </c>
      <c r="W270">
        <v>137.1</v>
      </c>
      <c r="X270">
        <v>140.4</v>
      </c>
      <c r="Y270">
        <v>148.1</v>
      </c>
      <c r="Z270">
        <v>129.30000000000001</v>
      </c>
      <c r="AA270">
        <v>144.5</v>
      </c>
      <c r="AB270">
        <v>152.5</v>
      </c>
      <c r="AC270">
        <v>152.19999999999999</v>
      </c>
      <c r="AD270">
        <v>142</v>
      </c>
      <c r="AE270">
        <v>150.80000000000001</v>
      </c>
      <c r="AF270" t="str">
        <f>IF(AND(CPI_Data[[#This Row],[Date]]&gt;=DATE(2019,3,1),CPI_Data[[#This Row],[Date]]&lt;DATE(2020,3,1)),"Pre-COVID",IF(AND(CPI_Data[[#This Row],[Date]]&gt;=DATE(2020,3,1),CPI_Data[[#This Row],[Date]]&lt;DATE(2021,3,1)),"Post-COVID",""))</f>
        <v>Post-COVID</v>
      </c>
    </row>
    <row r="271" spans="1:32" hidden="1" x14ac:dyDescent="0.25">
      <c r="A271" t="s">
        <v>34</v>
      </c>
      <c r="B271">
        <v>2020</v>
      </c>
      <c r="C271" s="1" t="s">
        <v>40</v>
      </c>
      <c r="D271" s="2">
        <f>DATE(CPI_Data[[#This Row],[Year]],MATCH(CPI_Data[[#This Row],[Month]],{"January","February","March","April","May","June","July","August","September","October","November","December"},0),1)</f>
        <v>44013</v>
      </c>
      <c r="E271">
        <v>149.6</v>
      </c>
      <c r="F271">
        <v>192.7</v>
      </c>
      <c r="G271">
        <v>151.4</v>
      </c>
      <c r="H271">
        <v>153.30000000000001</v>
      </c>
      <c r="I271">
        <v>136.30000000000001</v>
      </c>
      <c r="J271">
        <v>147.19999999999999</v>
      </c>
      <c r="K271">
        <v>156.5</v>
      </c>
      <c r="L271">
        <v>150.9</v>
      </c>
      <c r="M271">
        <v>114.2</v>
      </c>
      <c r="N271">
        <v>159.5</v>
      </c>
      <c r="O271">
        <v>139.4</v>
      </c>
      <c r="P271">
        <v>161.80000000000001</v>
      </c>
      <c r="Q271">
        <v>154</v>
      </c>
      <c r="R271">
        <v>183.5</v>
      </c>
      <c r="S271">
        <v>152.5</v>
      </c>
      <c r="T271">
        <v>144.4</v>
      </c>
      <c r="U271">
        <v>151.4</v>
      </c>
      <c r="V271">
        <v>154.69999999999999</v>
      </c>
      <c r="W271">
        <v>141.9</v>
      </c>
      <c r="X271">
        <v>146.4</v>
      </c>
      <c r="Y271">
        <v>154.4</v>
      </c>
      <c r="Z271">
        <v>135</v>
      </c>
      <c r="AA271">
        <v>148.30000000000001</v>
      </c>
      <c r="AB271">
        <v>156.4</v>
      </c>
      <c r="AC271">
        <v>151.6</v>
      </c>
      <c r="AD271">
        <v>147</v>
      </c>
      <c r="AE271">
        <v>151.80000000000001</v>
      </c>
      <c r="AF271" t="str">
        <f>IF(AND(CPI_Data[[#This Row],[Date]]&gt;=DATE(2019,3,1),CPI_Data[[#This Row],[Date]]&lt;DATE(2020,3,1)),"Pre-COVID",IF(AND(CPI_Data[[#This Row],[Date]]&gt;=DATE(2020,3,1),CPI_Data[[#This Row],[Date]]&lt;DATE(2021,3,1)),"Post-COVID",""))</f>
        <v>Post-COVID</v>
      </c>
    </row>
    <row r="272" spans="1:32" hidden="1" x14ac:dyDescent="0.25">
      <c r="A272" t="s">
        <v>30</v>
      </c>
      <c r="B272">
        <v>2020</v>
      </c>
      <c r="C272" s="1" t="s">
        <v>41</v>
      </c>
      <c r="D272" s="2">
        <f>DATE(CPI_Data[[#This Row],[Year]],MATCH(CPI_Data[[#This Row],[Month]],{"January","February","March","April","May","June","July","August","September","October","November","December"},0),1)</f>
        <v>44044</v>
      </c>
      <c r="E272">
        <v>147.6</v>
      </c>
      <c r="F272">
        <v>187.2</v>
      </c>
      <c r="G272">
        <v>148.4</v>
      </c>
      <c r="H272">
        <v>153.30000000000001</v>
      </c>
      <c r="I272">
        <v>139.80000000000001</v>
      </c>
      <c r="J272">
        <v>146.9</v>
      </c>
      <c r="K272">
        <v>171</v>
      </c>
      <c r="L272">
        <v>149.9</v>
      </c>
      <c r="M272">
        <v>114.2</v>
      </c>
      <c r="N272">
        <v>160</v>
      </c>
      <c r="O272">
        <v>143.5</v>
      </c>
      <c r="P272">
        <v>161.5</v>
      </c>
      <c r="Q272">
        <v>155.30000000000001</v>
      </c>
      <c r="R272">
        <v>180.9</v>
      </c>
      <c r="S272">
        <v>155.1</v>
      </c>
      <c r="T272">
        <v>149.30000000000001</v>
      </c>
      <c r="U272">
        <v>154.30000000000001</v>
      </c>
      <c r="V272" t="s">
        <v>32</v>
      </c>
      <c r="W272">
        <v>145.80000000000001</v>
      </c>
      <c r="X272">
        <v>151.9</v>
      </c>
      <c r="Y272">
        <v>158.80000000000001</v>
      </c>
      <c r="Z272">
        <v>143.6</v>
      </c>
      <c r="AA272">
        <v>152.19999999999999</v>
      </c>
      <c r="AB272">
        <v>162.69999999999999</v>
      </c>
      <c r="AC272">
        <v>153.6</v>
      </c>
      <c r="AD272">
        <v>153</v>
      </c>
      <c r="AE272">
        <v>154.69999999999999</v>
      </c>
      <c r="AF272" t="str">
        <f>IF(AND(CPI_Data[[#This Row],[Date]]&gt;=DATE(2019,3,1),CPI_Data[[#This Row],[Date]]&lt;DATE(2020,3,1)),"Pre-COVID",IF(AND(CPI_Data[[#This Row],[Date]]&gt;=DATE(2020,3,1),CPI_Data[[#This Row],[Date]]&lt;DATE(2021,3,1)),"Post-COVID",""))</f>
        <v>Post-COVID</v>
      </c>
    </row>
    <row r="273" spans="1:32" hidden="1" x14ac:dyDescent="0.25">
      <c r="A273" t="s">
        <v>33</v>
      </c>
      <c r="B273">
        <v>2020</v>
      </c>
      <c r="C273" s="1" t="s">
        <v>41</v>
      </c>
      <c r="D273" s="2">
        <f>DATE(CPI_Data[[#This Row],[Year]],MATCH(CPI_Data[[#This Row],[Month]],{"January","February","March","April","May","June","July","August","September","October","November","December"},0),1)</f>
        <v>44044</v>
      </c>
      <c r="E273">
        <v>151.6</v>
      </c>
      <c r="F273">
        <v>197.8</v>
      </c>
      <c r="G273">
        <v>154.5</v>
      </c>
      <c r="H273">
        <v>153.4</v>
      </c>
      <c r="I273">
        <v>133.4</v>
      </c>
      <c r="J273">
        <v>154.5</v>
      </c>
      <c r="K273">
        <v>191.9</v>
      </c>
      <c r="L273">
        <v>151.30000000000001</v>
      </c>
      <c r="M273">
        <v>116.8</v>
      </c>
      <c r="N273">
        <v>160</v>
      </c>
      <c r="O273">
        <v>136.5</v>
      </c>
      <c r="P273">
        <v>163.30000000000001</v>
      </c>
      <c r="Q273">
        <v>159.9</v>
      </c>
      <c r="R273">
        <v>187.2</v>
      </c>
      <c r="S273">
        <v>150</v>
      </c>
      <c r="T273">
        <v>135.19999999999999</v>
      </c>
      <c r="U273">
        <v>147.80000000000001</v>
      </c>
      <c r="V273">
        <v>155.5</v>
      </c>
      <c r="W273">
        <v>138.30000000000001</v>
      </c>
      <c r="X273">
        <v>144.5</v>
      </c>
      <c r="Y273">
        <v>148.69999999999999</v>
      </c>
      <c r="Z273">
        <v>133.9</v>
      </c>
      <c r="AA273">
        <v>141.19999999999999</v>
      </c>
      <c r="AB273">
        <v>155.5</v>
      </c>
      <c r="AC273">
        <v>155.19999999999999</v>
      </c>
      <c r="AD273">
        <v>144.80000000000001</v>
      </c>
      <c r="AE273">
        <v>152.9</v>
      </c>
      <c r="AF273" t="str">
        <f>IF(AND(CPI_Data[[#This Row],[Date]]&gt;=DATE(2019,3,1),CPI_Data[[#This Row],[Date]]&lt;DATE(2020,3,1)),"Pre-COVID",IF(AND(CPI_Data[[#This Row],[Date]]&gt;=DATE(2020,3,1),CPI_Data[[#This Row],[Date]]&lt;DATE(2021,3,1)),"Post-COVID",""))</f>
        <v>Post-COVID</v>
      </c>
    </row>
    <row r="274" spans="1:32" hidden="1" x14ac:dyDescent="0.25">
      <c r="A274" t="s">
        <v>34</v>
      </c>
      <c r="B274">
        <v>2020</v>
      </c>
      <c r="C274" s="1" t="s">
        <v>41</v>
      </c>
      <c r="D274" s="2">
        <f>DATE(CPI_Data[[#This Row],[Year]],MATCH(CPI_Data[[#This Row],[Month]],{"January","February","March","April","May","June","July","August","September","October","November","December"},0),1)</f>
        <v>44044</v>
      </c>
      <c r="E274">
        <v>148.9</v>
      </c>
      <c r="F274">
        <v>190.9</v>
      </c>
      <c r="G274">
        <v>150.80000000000001</v>
      </c>
      <c r="H274">
        <v>153.30000000000001</v>
      </c>
      <c r="I274">
        <v>137.4</v>
      </c>
      <c r="J274">
        <v>150.4</v>
      </c>
      <c r="K274">
        <v>178.1</v>
      </c>
      <c r="L274">
        <v>150.4</v>
      </c>
      <c r="M274">
        <v>115.1</v>
      </c>
      <c r="N274">
        <v>160</v>
      </c>
      <c r="O274">
        <v>140.6</v>
      </c>
      <c r="P274">
        <v>162.30000000000001</v>
      </c>
      <c r="Q274">
        <v>157</v>
      </c>
      <c r="R274">
        <v>182.6</v>
      </c>
      <c r="S274">
        <v>153.1</v>
      </c>
      <c r="T274">
        <v>143.4</v>
      </c>
      <c r="U274">
        <v>151.69999999999999</v>
      </c>
      <c r="V274">
        <v>155.5</v>
      </c>
      <c r="W274">
        <v>143</v>
      </c>
      <c r="X274">
        <v>148.4</v>
      </c>
      <c r="Y274">
        <v>155</v>
      </c>
      <c r="Z274">
        <v>138.5</v>
      </c>
      <c r="AA274">
        <v>146</v>
      </c>
      <c r="AB274">
        <v>158.5</v>
      </c>
      <c r="AC274">
        <v>154.30000000000001</v>
      </c>
      <c r="AD274">
        <v>149</v>
      </c>
      <c r="AE274">
        <v>153.9</v>
      </c>
      <c r="AF274" t="str">
        <f>IF(AND(CPI_Data[[#This Row],[Date]]&gt;=DATE(2019,3,1),CPI_Data[[#This Row],[Date]]&lt;DATE(2020,3,1)),"Pre-COVID",IF(AND(CPI_Data[[#This Row],[Date]]&gt;=DATE(2020,3,1),CPI_Data[[#This Row],[Date]]&lt;DATE(2021,3,1)),"Post-COVID",""))</f>
        <v>Post-COVID</v>
      </c>
    </row>
    <row r="275" spans="1:32" hidden="1" x14ac:dyDescent="0.25">
      <c r="A275" t="s">
        <v>30</v>
      </c>
      <c r="B275">
        <v>2020</v>
      </c>
      <c r="C275" s="1" t="s">
        <v>42</v>
      </c>
      <c r="D275" s="2">
        <f>DATE(CPI_Data[[#This Row],[Year]],MATCH(CPI_Data[[#This Row],[Month]],{"January","February","March","April","May","June","July","August","September","October","November","December"},0),1)</f>
        <v>44075</v>
      </c>
      <c r="E275">
        <v>146.9</v>
      </c>
      <c r="F275">
        <v>183.9</v>
      </c>
      <c r="G275">
        <v>149.5</v>
      </c>
      <c r="H275">
        <v>153.4</v>
      </c>
      <c r="I275">
        <v>140.4</v>
      </c>
      <c r="J275">
        <v>147</v>
      </c>
      <c r="K275">
        <v>178.8</v>
      </c>
      <c r="L275">
        <v>149.30000000000001</v>
      </c>
      <c r="M275">
        <v>115.1</v>
      </c>
      <c r="N275">
        <v>160</v>
      </c>
      <c r="O275">
        <v>145.4</v>
      </c>
      <c r="P275">
        <v>161.6</v>
      </c>
      <c r="Q275">
        <v>156.1</v>
      </c>
      <c r="R275">
        <v>182.9</v>
      </c>
      <c r="S275">
        <v>155.4</v>
      </c>
      <c r="T275">
        <v>149.9</v>
      </c>
      <c r="U275">
        <v>154.6</v>
      </c>
      <c r="V275" t="s">
        <v>32</v>
      </c>
      <c r="W275">
        <v>146.4</v>
      </c>
      <c r="X275">
        <v>151.6</v>
      </c>
      <c r="Y275">
        <v>159.1</v>
      </c>
      <c r="Z275">
        <v>144.6</v>
      </c>
      <c r="AA275">
        <v>152.80000000000001</v>
      </c>
      <c r="AB275">
        <v>161.1</v>
      </c>
      <c r="AC275">
        <v>157.4</v>
      </c>
      <c r="AD275">
        <v>153.69999999999999</v>
      </c>
      <c r="AE275">
        <v>155.4</v>
      </c>
      <c r="AF275" t="str">
        <f>IF(AND(CPI_Data[[#This Row],[Date]]&gt;=DATE(2019,3,1),CPI_Data[[#This Row],[Date]]&lt;DATE(2020,3,1)),"Pre-COVID",IF(AND(CPI_Data[[#This Row],[Date]]&gt;=DATE(2020,3,1),CPI_Data[[#This Row],[Date]]&lt;DATE(2021,3,1)),"Post-COVID",""))</f>
        <v>Post-COVID</v>
      </c>
    </row>
    <row r="276" spans="1:32" hidden="1" x14ac:dyDescent="0.25">
      <c r="A276" t="s">
        <v>33</v>
      </c>
      <c r="B276">
        <v>2020</v>
      </c>
      <c r="C276" s="1" t="s">
        <v>42</v>
      </c>
      <c r="D276" s="2">
        <f>DATE(CPI_Data[[#This Row],[Year]],MATCH(CPI_Data[[#This Row],[Month]],{"January","February","March","April","May","June","July","August","September","October","November","December"},0),1)</f>
        <v>44075</v>
      </c>
      <c r="E276">
        <v>151.5</v>
      </c>
      <c r="F276">
        <v>193.1</v>
      </c>
      <c r="G276">
        <v>157.30000000000001</v>
      </c>
      <c r="H276">
        <v>153.9</v>
      </c>
      <c r="I276">
        <v>134.4</v>
      </c>
      <c r="J276">
        <v>155.4</v>
      </c>
      <c r="K276">
        <v>202</v>
      </c>
      <c r="L276">
        <v>150.80000000000001</v>
      </c>
      <c r="M276">
        <v>118.9</v>
      </c>
      <c r="N276">
        <v>160.9</v>
      </c>
      <c r="O276">
        <v>137.69999999999999</v>
      </c>
      <c r="P276">
        <v>164.4</v>
      </c>
      <c r="Q276">
        <v>161.30000000000001</v>
      </c>
      <c r="R276">
        <v>188.7</v>
      </c>
      <c r="S276">
        <v>150.19999999999999</v>
      </c>
      <c r="T276">
        <v>136.30000000000001</v>
      </c>
      <c r="U276">
        <v>148.1</v>
      </c>
      <c r="V276">
        <v>156.30000000000001</v>
      </c>
      <c r="W276">
        <v>137.19999999999999</v>
      </c>
      <c r="X276">
        <v>145.4</v>
      </c>
      <c r="Y276">
        <v>150</v>
      </c>
      <c r="Z276">
        <v>135.1</v>
      </c>
      <c r="AA276">
        <v>141.80000000000001</v>
      </c>
      <c r="AB276">
        <v>154.9</v>
      </c>
      <c r="AC276">
        <v>159.80000000000001</v>
      </c>
      <c r="AD276">
        <v>146</v>
      </c>
      <c r="AE276">
        <v>154</v>
      </c>
      <c r="AF276" t="str">
        <f>IF(AND(CPI_Data[[#This Row],[Date]]&gt;=DATE(2019,3,1),CPI_Data[[#This Row],[Date]]&lt;DATE(2020,3,1)),"Pre-COVID",IF(AND(CPI_Data[[#This Row],[Date]]&gt;=DATE(2020,3,1),CPI_Data[[#This Row],[Date]]&lt;DATE(2021,3,1)),"Post-COVID",""))</f>
        <v>Post-COVID</v>
      </c>
    </row>
    <row r="277" spans="1:32" hidden="1" x14ac:dyDescent="0.25">
      <c r="A277" t="s">
        <v>34</v>
      </c>
      <c r="B277">
        <v>2020</v>
      </c>
      <c r="C277" s="1" t="s">
        <v>42</v>
      </c>
      <c r="D277" s="2">
        <f>DATE(CPI_Data[[#This Row],[Year]],MATCH(CPI_Data[[#This Row],[Month]],{"January","February","March","April","May","June","July","August","September","October","November","December"},0),1)</f>
        <v>44075</v>
      </c>
      <c r="E277">
        <v>148.4</v>
      </c>
      <c r="F277">
        <v>187.1</v>
      </c>
      <c r="G277">
        <v>152.5</v>
      </c>
      <c r="H277">
        <v>153.6</v>
      </c>
      <c r="I277">
        <v>138.19999999999999</v>
      </c>
      <c r="J277">
        <v>150.9</v>
      </c>
      <c r="K277">
        <v>186.7</v>
      </c>
      <c r="L277">
        <v>149.80000000000001</v>
      </c>
      <c r="M277">
        <v>116.4</v>
      </c>
      <c r="N277">
        <v>160.30000000000001</v>
      </c>
      <c r="O277">
        <v>142.19999999999999</v>
      </c>
      <c r="P277">
        <v>162.9</v>
      </c>
      <c r="Q277">
        <v>158</v>
      </c>
      <c r="R277">
        <v>184.4</v>
      </c>
      <c r="S277">
        <v>153.4</v>
      </c>
      <c r="T277">
        <v>144.30000000000001</v>
      </c>
      <c r="U277">
        <v>152</v>
      </c>
      <c r="V277">
        <v>156.30000000000001</v>
      </c>
      <c r="W277">
        <v>142.9</v>
      </c>
      <c r="X277">
        <v>148.69999999999999</v>
      </c>
      <c r="Y277">
        <v>155.6</v>
      </c>
      <c r="Z277">
        <v>139.6</v>
      </c>
      <c r="AA277">
        <v>146.6</v>
      </c>
      <c r="AB277">
        <v>157.5</v>
      </c>
      <c r="AC277">
        <v>158.4</v>
      </c>
      <c r="AD277">
        <v>150</v>
      </c>
      <c r="AE277">
        <v>154.69999999999999</v>
      </c>
      <c r="AF277" t="str">
        <f>IF(AND(CPI_Data[[#This Row],[Date]]&gt;=DATE(2019,3,1),CPI_Data[[#This Row],[Date]]&lt;DATE(2020,3,1)),"Pre-COVID",IF(AND(CPI_Data[[#This Row],[Date]]&gt;=DATE(2020,3,1),CPI_Data[[#This Row],[Date]]&lt;DATE(2021,3,1)),"Post-COVID",""))</f>
        <v>Post-COVID</v>
      </c>
    </row>
    <row r="278" spans="1:32" hidden="1" x14ac:dyDescent="0.25">
      <c r="A278" t="s">
        <v>30</v>
      </c>
      <c r="B278">
        <v>2020</v>
      </c>
      <c r="C278" s="1" t="s">
        <v>43</v>
      </c>
      <c r="D278" s="2">
        <f>DATE(CPI_Data[[#This Row],[Year]],MATCH(CPI_Data[[#This Row],[Month]],{"January","February","March","April","May","June","July","August","September","October","November","December"},0),1)</f>
        <v>44105</v>
      </c>
      <c r="E278">
        <v>146</v>
      </c>
      <c r="F278">
        <v>186.3</v>
      </c>
      <c r="G278">
        <v>159.19999999999999</v>
      </c>
      <c r="H278">
        <v>153.6</v>
      </c>
      <c r="I278">
        <v>142.6</v>
      </c>
      <c r="J278">
        <v>147.19999999999999</v>
      </c>
      <c r="K278">
        <v>200.6</v>
      </c>
      <c r="L278">
        <v>150.30000000000001</v>
      </c>
      <c r="M278">
        <v>115.3</v>
      </c>
      <c r="N278">
        <v>160.9</v>
      </c>
      <c r="O278">
        <v>147.4</v>
      </c>
      <c r="P278">
        <v>161.9</v>
      </c>
      <c r="Q278">
        <v>159.6</v>
      </c>
      <c r="R278">
        <v>182.7</v>
      </c>
      <c r="S278">
        <v>155.69999999999999</v>
      </c>
      <c r="T278">
        <v>150.6</v>
      </c>
      <c r="U278">
        <v>155</v>
      </c>
      <c r="V278" t="s">
        <v>32</v>
      </c>
      <c r="W278">
        <v>146.80000000000001</v>
      </c>
      <c r="X278">
        <v>152</v>
      </c>
      <c r="Y278">
        <v>159.5</v>
      </c>
      <c r="Z278">
        <v>146.4</v>
      </c>
      <c r="AA278">
        <v>152.4</v>
      </c>
      <c r="AB278">
        <v>162.5</v>
      </c>
      <c r="AC278">
        <v>156.19999999999999</v>
      </c>
      <c r="AD278">
        <v>154.30000000000001</v>
      </c>
      <c r="AE278">
        <v>157.5</v>
      </c>
      <c r="AF278" t="str">
        <f>IF(AND(CPI_Data[[#This Row],[Date]]&gt;=DATE(2019,3,1),CPI_Data[[#This Row],[Date]]&lt;DATE(2020,3,1)),"Pre-COVID",IF(AND(CPI_Data[[#This Row],[Date]]&gt;=DATE(2020,3,1),CPI_Data[[#This Row],[Date]]&lt;DATE(2021,3,1)),"Post-COVID",""))</f>
        <v>Post-COVID</v>
      </c>
    </row>
    <row r="279" spans="1:32" hidden="1" x14ac:dyDescent="0.25">
      <c r="A279" t="s">
        <v>33</v>
      </c>
      <c r="B279">
        <v>2020</v>
      </c>
      <c r="C279" s="1" t="s">
        <v>43</v>
      </c>
      <c r="D279" s="2">
        <f>DATE(CPI_Data[[#This Row],[Year]],MATCH(CPI_Data[[#This Row],[Month]],{"January","February","March","April","May","June","July","August","September","October","November","December"},0),1)</f>
        <v>44105</v>
      </c>
      <c r="E279">
        <v>150.6</v>
      </c>
      <c r="F279">
        <v>193.7</v>
      </c>
      <c r="G279">
        <v>164.8</v>
      </c>
      <c r="H279">
        <v>153.69999999999999</v>
      </c>
      <c r="I279">
        <v>135.69999999999999</v>
      </c>
      <c r="J279">
        <v>155.69999999999999</v>
      </c>
      <c r="K279">
        <v>226</v>
      </c>
      <c r="L279">
        <v>152.19999999999999</v>
      </c>
      <c r="M279">
        <v>118.1</v>
      </c>
      <c r="N279">
        <v>161.30000000000001</v>
      </c>
      <c r="O279">
        <v>139.19999999999999</v>
      </c>
      <c r="P279">
        <v>164.8</v>
      </c>
      <c r="Q279">
        <v>164.4</v>
      </c>
      <c r="R279">
        <v>188.7</v>
      </c>
      <c r="S279">
        <v>150.5</v>
      </c>
      <c r="T279">
        <v>136.1</v>
      </c>
      <c r="U279">
        <v>148.30000000000001</v>
      </c>
      <c r="V279">
        <v>156.5</v>
      </c>
      <c r="W279">
        <v>137.1</v>
      </c>
      <c r="X279">
        <v>145.1</v>
      </c>
      <c r="Y279">
        <v>151</v>
      </c>
      <c r="Z279">
        <v>135.4</v>
      </c>
      <c r="AA279">
        <v>142</v>
      </c>
      <c r="AB279">
        <v>155.69999999999999</v>
      </c>
      <c r="AC279">
        <v>158.1</v>
      </c>
      <c r="AD279">
        <v>146.19999999999999</v>
      </c>
      <c r="AE279">
        <v>155.19999999999999</v>
      </c>
      <c r="AF279" t="str">
        <f>IF(AND(CPI_Data[[#This Row],[Date]]&gt;=DATE(2019,3,1),CPI_Data[[#This Row],[Date]]&lt;DATE(2020,3,1)),"Pre-COVID",IF(AND(CPI_Data[[#This Row],[Date]]&gt;=DATE(2020,3,1),CPI_Data[[#This Row],[Date]]&lt;DATE(2021,3,1)),"Post-COVID",""))</f>
        <v>Post-COVID</v>
      </c>
    </row>
    <row r="280" spans="1:32" hidden="1" x14ac:dyDescent="0.25">
      <c r="A280" t="s">
        <v>34</v>
      </c>
      <c r="B280">
        <v>2020</v>
      </c>
      <c r="C280" s="1" t="s">
        <v>43</v>
      </c>
      <c r="D280" s="2">
        <f>DATE(CPI_Data[[#This Row],[Year]],MATCH(CPI_Data[[#This Row],[Month]],{"January","February","March","April","May","June","July","August","September","October","November","December"},0),1)</f>
        <v>44105</v>
      </c>
      <c r="E280">
        <v>147.5</v>
      </c>
      <c r="F280">
        <v>188.9</v>
      </c>
      <c r="G280">
        <v>161.4</v>
      </c>
      <c r="H280">
        <v>153.6</v>
      </c>
      <c r="I280">
        <v>140.1</v>
      </c>
      <c r="J280">
        <v>151.19999999999999</v>
      </c>
      <c r="K280">
        <v>209.2</v>
      </c>
      <c r="L280">
        <v>150.9</v>
      </c>
      <c r="M280">
        <v>116.2</v>
      </c>
      <c r="N280">
        <v>161</v>
      </c>
      <c r="O280">
        <v>144</v>
      </c>
      <c r="P280">
        <v>163.19999999999999</v>
      </c>
      <c r="Q280">
        <v>161.4</v>
      </c>
      <c r="R280">
        <v>184.3</v>
      </c>
      <c r="S280">
        <v>153.69999999999999</v>
      </c>
      <c r="T280">
        <v>144.6</v>
      </c>
      <c r="U280">
        <v>152.30000000000001</v>
      </c>
      <c r="V280">
        <v>156.5</v>
      </c>
      <c r="W280">
        <v>143.1</v>
      </c>
      <c r="X280">
        <v>148.69999999999999</v>
      </c>
      <c r="Y280">
        <v>156.30000000000001</v>
      </c>
      <c r="Z280">
        <v>140.6</v>
      </c>
      <c r="AA280">
        <v>146.5</v>
      </c>
      <c r="AB280">
        <v>158.5</v>
      </c>
      <c r="AC280">
        <v>157</v>
      </c>
      <c r="AD280">
        <v>150.4</v>
      </c>
      <c r="AE280">
        <v>156.4</v>
      </c>
      <c r="AF280" t="str">
        <f>IF(AND(CPI_Data[[#This Row],[Date]]&gt;=DATE(2019,3,1),CPI_Data[[#This Row],[Date]]&lt;DATE(2020,3,1)),"Pre-COVID",IF(AND(CPI_Data[[#This Row],[Date]]&gt;=DATE(2020,3,1),CPI_Data[[#This Row],[Date]]&lt;DATE(2021,3,1)),"Post-COVID",""))</f>
        <v>Post-COVID</v>
      </c>
    </row>
    <row r="281" spans="1:32" hidden="1" x14ac:dyDescent="0.25">
      <c r="A281" t="s">
        <v>30</v>
      </c>
      <c r="B281">
        <v>2020</v>
      </c>
      <c r="C281" s="1" t="s">
        <v>45</v>
      </c>
      <c r="D281" s="2">
        <f>DATE(CPI_Data[[#This Row],[Year]],MATCH(CPI_Data[[#This Row],[Month]],{"January","February","March","April","May","June","July","August","September","October","November","December"},0),1)</f>
        <v>44136</v>
      </c>
      <c r="E281">
        <v>145.4</v>
      </c>
      <c r="F281">
        <v>188.6</v>
      </c>
      <c r="G281">
        <v>171.6</v>
      </c>
      <c r="H281">
        <v>153.80000000000001</v>
      </c>
      <c r="I281">
        <v>145.4</v>
      </c>
      <c r="J281">
        <v>146.5</v>
      </c>
      <c r="K281">
        <v>222.2</v>
      </c>
      <c r="L281">
        <v>155.9</v>
      </c>
      <c r="M281">
        <v>114.9</v>
      </c>
      <c r="N281">
        <v>162</v>
      </c>
      <c r="O281">
        <v>150</v>
      </c>
      <c r="P281">
        <v>162.69999999999999</v>
      </c>
      <c r="Q281">
        <v>163.4</v>
      </c>
      <c r="R281">
        <v>183.4</v>
      </c>
      <c r="S281">
        <v>156.30000000000001</v>
      </c>
      <c r="T281">
        <v>151</v>
      </c>
      <c r="U281">
        <v>155.5</v>
      </c>
      <c r="V281" t="s">
        <v>32</v>
      </c>
      <c r="W281">
        <v>147.5</v>
      </c>
      <c r="X281">
        <v>152.80000000000001</v>
      </c>
      <c r="Y281">
        <v>160.4</v>
      </c>
      <c r="Z281">
        <v>146.1</v>
      </c>
      <c r="AA281">
        <v>153.6</v>
      </c>
      <c r="AB281">
        <v>161.6</v>
      </c>
      <c r="AC281">
        <v>156.19999999999999</v>
      </c>
      <c r="AD281">
        <v>154.5</v>
      </c>
      <c r="AE281">
        <v>159.80000000000001</v>
      </c>
      <c r="AF281" t="str">
        <f>IF(AND(CPI_Data[[#This Row],[Date]]&gt;=DATE(2019,3,1),CPI_Data[[#This Row],[Date]]&lt;DATE(2020,3,1)),"Pre-COVID",IF(AND(CPI_Data[[#This Row],[Date]]&gt;=DATE(2020,3,1),CPI_Data[[#This Row],[Date]]&lt;DATE(2021,3,1)),"Post-COVID",""))</f>
        <v>Post-COVID</v>
      </c>
    </row>
    <row r="282" spans="1:32" hidden="1" x14ac:dyDescent="0.25">
      <c r="A282" t="s">
        <v>33</v>
      </c>
      <c r="B282">
        <v>2020</v>
      </c>
      <c r="C282" s="1" t="s">
        <v>45</v>
      </c>
      <c r="D282" s="2">
        <f>DATE(CPI_Data[[#This Row],[Year]],MATCH(CPI_Data[[#This Row],[Month]],{"January","February","March","April","May","June","July","August","September","October","November","December"},0),1)</f>
        <v>44136</v>
      </c>
      <c r="E282">
        <v>149.69999999999999</v>
      </c>
      <c r="F282">
        <v>195.5</v>
      </c>
      <c r="G282">
        <v>176.9</v>
      </c>
      <c r="H282">
        <v>153.9</v>
      </c>
      <c r="I282">
        <v>138</v>
      </c>
      <c r="J282">
        <v>150.5</v>
      </c>
      <c r="K282">
        <v>245.3</v>
      </c>
      <c r="L282">
        <v>158.69999999999999</v>
      </c>
      <c r="M282">
        <v>117.2</v>
      </c>
      <c r="N282">
        <v>161.4</v>
      </c>
      <c r="O282">
        <v>141.5</v>
      </c>
      <c r="P282">
        <v>165.1</v>
      </c>
      <c r="Q282">
        <v>167</v>
      </c>
      <c r="R282">
        <v>188.8</v>
      </c>
      <c r="S282">
        <v>151.1</v>
      </c>
      <c r="T282">
        <v>136.4</v>
      </c>
      <c r="U282">
        <v>148.80000000000001</v>
      </c>
      <c r="V282">
        <v>158</v>
      </c>
      <c r="W282">
        <v>137.30000000000001</v>
      </c>
      <c r="X282">
        <v>145.1</v>
      </c>
      <c r="Y282">
        <v>152</v>
      </c>
      <c r="Z282">
        <v>135.19999999999999</v>
      </c>
      <c r="AA282">
        <v>144.4</v>
      </c>
      <c r="AB282">
        <v>156.4</v>
      </c>
      <c r="AC282">
        <v>157.9</v>
      </c>
      <c r="AD282">
        <v>146.6</v>
      </c>
      <c r="AE282">
        <v>156.69999999999999</v>
      </c>
      <c r="AF282" t="str">
        <f>IF(AND(CPI_Data[[#This Row],[Date]]&gt;=DATE(2019,3,1),CPI_Data[[#This Row],[Date]]&lt;DATE(2020,3,1)),"Pre-COVID",IF(AND(CPI_Data[[#This Row],[Date]]&gt;=DATE(2020,3,1),CPI_Data[[#This Row],[Date]]&lt;DATE(2021,3,1)),"Post-COVID",""))</f>
        <v>Post-COVID</v>
      </c>
    </row>
    <row r="283" spans="1:32" hidden="1" x14ac:dyDescent="0.25">
      <c r="A283" t="s">
        <v>34</v>
      </c>
      <c r="B283">
        <v>2020</v>
      </c>
      <c r="C283" s="1" t="s">
        <v>45</v>
      </c>
      <c r="D283" s="2">
        <f>DATE(CPI_Data[[#This Row],[Year]],MATCH(CPI_Data[[#This Row],[Month]],{"January","February","March","April","May","June","July","August","September","October","November","December"},0),1)</f>
        <v>44136</v>
      </c>
      <c r="E283">
        <v>146.80000000000001</v>
      </c>
      <c r="F283">
        <v>191</v>
      </c>
      <c r="G283">
        <v>173.6</v>
      </c>
      <c r="H283">
        <v>153.80000000000001</v>
      </c>
      <c r="I283">
        <v>142.69999999999999</v>
      </c>
      <c r="J283">
        <v>148.4</v>
      </c>
      <c r="K283">
        <v>230</v>
      </c>
      <c r="L283">
        <v>156.80000000000001</v>
      </c>
      <c r="M283">
        <v>115.7</v>
      </c>
      <c r="N283">
        <v>161.80000000000001</v>
      </c>
      <c r="O283">
        <v>146.5</v>
      </c>
      <c r="P283">
        <v>163.80000000000001</v>
      </c>
      <c r="Q283">
        <v>164.7</v>
      </c>
      <c r="R283">
        <v>184.8</v>
      </c>
      <c r="S283">
        <v>154.30000000000001</v>
      </c>
      <c r="T283">
        <v>144.9</v>
      </c>
      <c r="U283">
        <v>152.80000000000001</v>
      </c>
      <c r="V283">
        <v>158</v>
      </c>
      <c r="W283">
        <v>143.6</v>
      </c>
      <c r="X283">
        <v>149.19999999999999</v>
      </c>
      <c r="Y283">
        <v>157.19999999999999</v>
      </c>
      <c r="Z283">
        <v>140.4</v>
      </c>
      <c r="AA283">
        <v>148.4</v>
      </c>
      <c r="AB283">
        <v>158.6</v>
      </c>
      <c r="AC283">
        <v>156.9</v>
      </c>
      <c r="AD283">
        <v>150.69999999999999</v>
      </c>
      <c r="AE283">
        <v>158.4</v>
      </c>
      <c r="AF283" t="str">
        <f>IF(AND(CPI_Data[[#This Row],[Date]]&gt;=DATE(2019,3,1),CPI_Data[[#This Row],[Date]]&lt;DATE(2020,3,1)),"Pre-COVID",IF(AND(CPI_Data[[#This Row],[Date]]&gt;=DATE(2020,3,1),CPI_Data[[#This Row],[Date]]&lt;DATE(2021,3,1)),"Post-COVID",""))</f>
        <v>Post-COVID</v>
      </c>
    </row>
    <row r="284" spans="1:32" hidden="1" x14ac:dyDescent="0.25">
      <c r="A284" t="s">
        <v>30</v>
      </c>
      <c r="B284">
        <v>2020</v>
      </c>
      <c r="C284" s="1" t="s">
        <v>46</v>
      </c>
      <c r="D284" s="2">
        <f>DATE(CPI_Data[[#This Row],[Year]],MATCH(CPI_Data[[#This Row],[Month]],{"January","February","March","April","May","June","July","August","September","October","November","December"},0),1)</f>
        <v>44166</v>
      </c>
      <c r="E284">
        <v>144.6</v>
      </c>
      <c r="F284">
        <v>188.5</v>
      </c>
      <c r="G284">
        <v>173.4</v>
      </c>
      <c r="H284">
        <v>154</v>
      </c>
      <c r="I284">
        <v>150</v>
      </c>
      <c r="J284">
        <v>145.9</v>
      </c>
      <c r="K284">
        <v>225.2</v>
      </c>
      <c r="L284">
        <v>159.5</v>
      </c>
      <c r="M284">
        <v>114.4</v>
      </c>
      <c r="N284">
        <v>163.5</v>
      </c>
      <c r="O284">
        <v>153.4</v>
      </c>
      <c r="P284">
        <v>163.6</v>
      </c>
      <c r="Q284">
        <v>164.5</v>
      </c>
      <c r="R284">
        <v>183.6</v>
      </c>
      <c r="S284">
        <v>157</v>
      </c>
      <c r="T284">
        <v>151.6</v>
      </c>
      <c r="U284">
        <v>156.30000000000001</v>
      </c>
      <c r="V284" t="s">
        <v>32</v>
      </c>
      <c r="W284">
        <v>148.69999999999999</v>
      </c>
      <c r="X284">
        <v>153.4</v>
      </c>
      <c r="Y284">
        <v>161.6</v>
      </c>
      <c r="Z284">
        <v>146.4</v>
      </c>
      <c r="AA284">
        <v>153.9</v>
      </c>
      <c r="AB284">
        <v>162.9</v>
      </c>
      <c r="AC284">
        <v>156.6</v>
      </c>
      <c r="AD284">
        <v>155.19999999999999</v>
      </c>
      <c r="AE284">
        <v>160.69999999999999</v>
      </c>
      <c r="AF284" t="str">
        <f>IF(AND(CPI_Data[[#This Row],[Date]]&gt;=DATE(2019,3,1),CPI_Data[[#This Row],[Date]]&lt;DATE(2020,3,1)),"Pre-COVID",IF(AND(CPI_Data[[#This Row],[Date]]&gt;=DATE(2020,3,1),CPI_Data[[#This Row],[Date]]&lt;DATE(2021,3,1)),"Post-COVID",""))</f>
        <v>Post-COVID</v>
      </c>
    </row>
    <row r="285" spans="1:32" hidden="1" x14ac:dyDescent="0.25">
      <c r="A285" t="s">
        <v>33</v>
      </c>
      <c r="B285">
        <v>2020</v>
      </c>
      <c r="C285" s="1" t="s">
        <v>46</v>
      </c>
      <c r="D285" s="2">
        <f>DATE(CPI_Data[[#This Row],[Year]],MATCH(CPI_Data[[#This Row],[Month]],{"January","February","March","April","May","June","July","August","September","October","November","December"},0),1)</f>
        <v>44166</v>
      </c>
      <c r="E285">
        <v>149</v>
      </c>
      <c r="F285">
        <v>195.7</v>
      </c>
      <c r="G285">
        <v>178.3</v>
      </c>
      <c r="H285">
        <v>154.19999999999999</v>
      </c>
      <c r="I285">
        <v>140.69999999999999</v>
      </c>
      <c r="J285">
        <v>149.69999999999999</v>
      </c>
      <c r="K285">
        <v>240.9</v>
      </c>
      <c r="L285">
        <v>161.5</v>
      </c>
      <c r="M285">
        <v>117.1</v>
      </c>
      <c r="N285">
        <v>161.9</v>
      </c>
      <c r="O285">
        <v>143.30000000000001</v>
      </c>
      <c r="P285">
        <v>166.1</v>
      </c>
      <c r="Q285">
        <v>167</v>
      </c>
      <c r="R285">
        <v>190.2</v>
      </c>
      <c r="S285">
        <v>151.9</v>
      </c>
      <c r="T285">
        <v>136.69999999999999</v>
      </c>
      <c r="U285">
        <v>149.6</v>
      </c>
      <c r="V285">
        <v>158.4</v>
      </c>
      <c r="W285">
        <v>137.9</v>
      </c>
      <c r="X285">
        <v>145.5</v>
      </c>
      <c r="Y285">
        <v>152.9</v>
      </c>
      <c r="Z285">
        <v>135.5</v>
      </c>
      <c r="AA285">
        <v>144.30000000000001</v>
      </c>
      <c r="AB285">
        <v>156.9</v>
      </c>
      <c r="AC285">
        <v>157.9</v>
      </c>
      <c r="AD285">
        <v>146.9</v>
      </c>
      <c r="AE285">
        <v>156.9</v>
      </c>
      <c r="AF285" t="str">
        <f>IF(AND(CPI_Data[[#This Row],[Date]]&gt;=DATE(2019,3,1),CPI_Data[[#This Row],[Date]]&lt;DATE(2020,3,1)),"Pre-COVID",IF(AND(CPI_Data[[#This Row],[Date]]&gt;=DATE(2020,3,1),CPI_Data[[#This Row],[Date]]&lt;DATE(2021,3,1)),"Post-COVID",""))</f>
        <v>Post-COVID</v>
      </c>
    </row>
    <row r="286" spans="1:32" hidden="1" x14ac:dyDescent="0.25">
      <c r="A286" t="s">
        <v>34</v>
      </c>
      <c r="B286">
        <v>2020</v>
      </c>
      <c r="C286" s="1" t="s">
        <v>46</v>
      </c>
      <c r="D286" s="2">
        <f>DATE(CPI_Data[[#This Row],[Year]],MATCH(CPI_Data[[#This Row],[Month]],{"January","February","March","April","May","June","July","August","September","October","November","December"},0),1)</f>
        <v>44166</v>
      </c>
      <c r="E286">
        <v>146</v>
      </c>
      <c r="F286">
        <v>191</v>
      </c>
      <c r="G286">
        <v>175.3</v>
      </c>
      <c r="H286">
        <v>154.1</v>
      </c>
      <c r="I286">
        <v>146.6</v>
      </c>
      <c r="J286">
        <v>147.69999999999999</v>
      </c>
      <c r="K286">
        <v>230.5</v>
      </c>
      <c r="L286">
        <v>160.19999999999999</v>
      </c>
      <c r="M286">
        <v>115.3</v>
      </c>
      <c r="N286">
        <v>163</v>
      </c>
      <c r="O286">
        <v>149.19999999999999</v>
      </c>
      <c r="P286">
        <v>164.8</v>
      </c>
      <c r="Q286">
        <v>165.4</v>
      </c>
      <c r="R286">
        <v>185.4</v>
      </c>
      <c r="S286">
        <v>155</v>
      </c>
      <c r="T286">
        <v>145.4</v>
      </c>
      <c r="U286">
        <v>153.6</v>
      </c>
      <c r="V286">
        <v>158.4</v>
      </c>
      <c r="W286">
        <v>144.6</v>
      </c>
      <c r="X286">
        <v>149.69999999999999</v>
      </c>
      <c r="Y286">
        <v>158.30000000000001</v>
      </c>
      <c r="Z286">
        <v>140.69999999999999</v>
      </c>
      <c r="AA286">
        <v>148.5</v>
      </c>
      <c r="AB286">
        <v>159.4</v>
      </c>
      <c r="AC286">
        <v>157.1</v>
      </c>
      <c r="AD286">
        <v>151.19999999999999</v>
      </c>
      <c r="AE286">
        <v>158.9</v>
      </c>
      <c r="AF286" t="str">
        <f>IF(AND(CPI_Data[[#This Row],[Date]]&gt;=DATE(2019,3,1),CPI_Data[[#This Row],[Date]]&lt;DATE(2020,3,1)),"Pre-COVID",IF(AND(CPI_Data[[#This Row],[Date]]&gt;=DATE(2020,3,1),CPI_Data[[#This Row],[Date]]&lt;DATE(2021,3,1)),"Post-COVID",""))</f>
        <v>Post-COVID</v>
      </c>
    </row>
    <row r="287" spans="1:32" x14ac:dyDescent="0.25">
      <c r="A287" t="s">
        <v>30</v>
      </c>
      <c r="B287">
        <v>2021</v>
      </c>
      <c r="C287" s="1" t="s">
        <v>31</v>
      </c>
      <c r="D287" s="2">
        <f>DATE(CPI_Data[[#This Row],[Year]],MATCH(CPI_Data[[#This Row],[Month]],{"January","February","March","April","May","June","July","August","September","October","November","December"},0),1)</f>
        <v>44197</v>
      </c>
      <c r="E287">
        <v>143.4</v>
      </c>
      <c r="F287">
        <v>187.5</v>
      </c>
      <c r="G287">
        <v>173.4</v>
      </c>
      <c r="H287">
        <v>154</v>
      </c>
      <c r="I287">
        <v>154.80000000000001</v>
      </c>
      <c r="J287">
        <v>147</v>
      </c>
      <c r="K287">
        <v>187.8</v>
      </c>
      <c r="L287">
        <v>159.5</v>
      </c>
      <c r="M287">
        <v>113.8</v>
      </c>
      <c r="N287">
        <v>164.5</v>
      </c>
      <c r="O287">
        <v>156.1</v>
      </c>
      <c r="P287">
        <v>164.3</v>
      </c>
      <c r="Q287">
        <v>159.6</v>
      </c>
      <c r="R287">
        <v>184.6</v>
      </c>
      <c r="S287">
        <v>157.5</v>
      </c>
      <c r="T287">
        <v>152.4</v>
      </c>
      <c r="U287">
        <v>156.80000000000001</v>
      </c>
      <c r="V287" t="s">
        <v>32</v>
      </c>
      <c r="W287">
        <v>150.9</v>
      </c>
      <c r="X287">
        <v>153.9</v>
      </c>
      <c r="Y287">
        <v>162.5</v>
      </c>
      <c r="Z287">
        <v>147.5</v>
      </c>
      <c r="AA287">
        <v>155.1</v>
      </c>
      <c r="AB287">
        <v>163.5</v>
      </c>
      <c r="AC287">
        <v>156.19999999999999</v>
      </c>
      <c r="AD287">
        <v>155.9</v>
      </c>
      <c r="AE287">
        <v>158.5</v>
      </c>
      <c r="AF287" t="str">
        <f>IF(AND(CPI_Data[[#This Row],[Date]]&gt;=DATE(2019,3,1),CPI_Data[[#This Row],[Date]]&lt;DATE(2020,3,1)),"Pre-COVID",IF(AND(CPI_Data[[#This Row],[Date]]&gt;=DATE(2020,3,1),CPI_Data[[#This Row],[Date]]&lt;DATE(2021,3,1)),"Post-COVID",""))</f>
        <v>Post-COVID</v>
      </c>
    </row>
    <row r="288" spans="1:32" x14ac:dyDescent="0.25">
      <c r="A288" t="s">
        <v>33</v>
      </c>
      <c r="B288">
        <v>2021</v>
      </c>
      <c r="C288" s="1" t="s">
        <v>31</v>
      </c>
      <c r="D288" s="2">
        <f>DATE(CPI_Data[[#This Row],[Year]],MATCH(CPI_Data[[#This Row],[Month]],{"January","February","March","April","May","June","July","August","September","October","November","December"},0),1)</f>
        <v>44197</v>
      </c>
      <c r="E288">
        <v>148</v>
      </c>
      <c r="F288">
        <v>194.8</v>
      </c>
      <c r="G288">
        <v>178.4</v>
      </c>
      <c r="H288">
        <v>154.4</v>
      </c>
      <c r="I288">
        <v>144.1</v>
      </c>
      <c r="J288">
        <v>152.6</v>
      </c>
      <c r="K288">
        <v>206.8</v>
      </c>
      <c r="L288">
        <v>162.1</v>
      </c>
      <c r="M288">
        <v>116.3</v>
      </c>
      <c r="N288">
        <v>163</v>
      </c>
      <c r="O288">
        <v>145.9</v>
      </c>
      <c r="P288">
        <v>167.2</v>
      </c>
      <c r="Q288">
        <v>163.4</v>
      </c>
      <c r="R288">
        <v>191.8</v>
      </c>
      <c r="S288">
        <v>152.5</v>
      </c>
      <c r="T288">
        <v>137.30000000000001</v>
      </c>
      <c r="U288">
        <v>150.19999999999999</v>
      </c>
      <c r="V288">
        <v>157.69999999999999</v>
      </c>
      <c r="W288">
        <v>142.9</v>
      </c>
      <c r="X288">
        <v>145.69999999999999</v>
      </c>
      <c r="Y288">
        <v>154.1</v>
      </c>
      <c r="Z288">
        <v>136.9</v>
      </c>
      <c r="AA288">
        <v>145.4</v>
      </c>
      <c r="AB288">
        <v>156.1</v>
      </c>
      <c r="AC288">
        <v>157.69999999999999</v>
      </c>
      <c r="AD288">
        <v>147.6</v>
      </c>
      <c r="AE288">
        <v>156</v>
      </c>
      <c r="AF288" t="str">
        <f>IF(AND(CPI_Data[[#This Row],[Date]]&gt;=DATE(2019,3,1),CPI_Data[[#This Row],[Date]]&lt;DATE(2020,3,1)),"Pre-COVID",IF(AND(CPI_Data[[#This Row],[Date]]&gt;=DATE(2020,3,1),CPI_Data[[#This Row],[Date]]&lt;DATE(2021,3,1)),"Post-COVID",""))</f>
        <v>Post-COVID</v>
      </c>
    </row>
    <row r="289" spans="1:32" x14ac:dyDescent="0.25">
      <c r="A289" t="s">
        <v>34</v>
      </c>
      <c r="B289">
        <v>2021</v>
      </c>
      <c r="C289" s="1" t="s">
        <v>31</v>
      </c>
      <c r="D289" s="2">
        <f>DATE(CPI_Data[[#This Row],[Year]],MATCH(CPI_Data[[#This Row],[Month]],{"January","February","March","April","May","June","July","August","September","October","November","December"},0),1)</f>
        <v>44197</v>
      </c>
      <c r="E289">
        <v>144.9</v>
      </c>
      <c r="F289">
        <v>190.1</v>
      </c>
      <c r="G289">
        <v>175.3</v>
      </c>
      <c r="H289">
        <v>154.1</v>
      </c>
      <c r="I289">
        <v>150.9</v>
      </c>
      <c r="J289">
        <v>149.6</v>
      </c>
      <c r="K289">
        <v>194.2</v>
      </c>
      <c r="L289">
        <v>160.4</v>
      </c>
      <c r="M289">
        <v>114.6</v>
      </c>
      <c r="N289">
        <v>164</v>
      </c>
      <c r="O289">
        <v>151.80000000000001</v>
      </c>
      <c r="P289">
        <v>165.6</v>
      </c>
      <c r="Q289">
        <v>161</v>
      </c>
      <c r="R289">
        <v>186.5</v>
      </c>
      <c r="S289">
        <v>155.5</v>
      </c>
      <c r="T289">
        <v>146.1</v>
      </c>
      <c r="U289">
        <v>154.19999999999999</v>
      </c>
      <c r="V289">
        <v>157.69999999999999</v>
      </c>
      <c r="W289">
        <v>147.9</v>
      </c>
      <c r="X289">
        <v>150</v>
      </c>
      <c r="Y289">
        <v>159.30000000000001</v>
      </c>
      <c r="Z289">
        <v>141.9</v>
      </c>
      <c r="AA289">
        <v>149.6</v>
      </c>
      <c r="AB289">
        <v>159.19999999999999</v>
      </c>
      <c r="AC289">
        <v>156.80000000000001</v>
      </c>
      <c r="AD289">
        <v>151.9</v>
      </c>
      <c r="AE289">
        <v>157.30000000000001</v>
      </c>
      <c r="AF289" t="str">
        <f>IF(AND(CPI_Data[[#This Row],[Date]]&gt;=DATE(2019,3,1),CPI_Data[[#This Row],[Date]]&lt;DATE(2020,3,1)),"Pre-COVID",IF(AND(CPI_Data[[#This Row],[Date]]&gt;=DATE(2020,3,1),CPI_Data[[#This Row],[Date]]&lt;DATE(2021,3,1)),"Post-COVID",""))</f>
        <v>Post-COVID</v>
      </c>
    </row>
    <row r="290" spans="1:32" x14ac:dyDescent="0.25">
      <c r="A290" t="s">
        <v>30</v>
      </c>
      <c r="B290">
        <v>2021</v>
      </c>
      <c r="C290" s="1" t="s">
        <v>35</v>
      </c>
      <c r="D290" s="2">
        <f>DATE(CPI_Data[[#This Row],[Year]],MATCH(CPI_Data[[#This Row],[Month]],{"January","February","March","April","May","June","July","August","September","October","November","December"},0),1)</f>
        <v>44228</v>
      </c>
      <c r="E290">
        <v>142.80000000000001</v>
      </c>
      <c r="F290">
        <v>184</v>
      </c>
      <c r="G290">
        <v>168</v>
      </c>
      <c r="H290">
        <v>154.4</v>
      </c>
      <c r="I290">
        <v>163</v>
      </c>
      <c r="J290">
        <v>147.80000000000001</v>
      </c>
      <c r="K290">
        <v>149.69999999999999</v>
      </c>
      <c r="L290">
        <v>158.30000000000001</v>
      </c>
      <c r="M290">
        <v>111.8</v>
      </c>
      <c r="N290">
        <v>165</v>
      </c>
      <c r="O290">
        <v>160</v>
      </c>
      <c r="P290">
        <v>165.8</v>
      </c>
      <c r="Q290">
        <v>154.69999999999999</v>
      </c>
      <c r="R290">
        <v>186.5</v>
      </c>
      <c r="S290">
        <v>159.1</v>
      </c>
      <c r="T290">
        <v>153.9</v>
      </c>
      <c r="U290">
        <v>158.4</v>
      </c>
      <c r="V290" t="s">
        <v>32</v>
      </c>
      <c r="W290">
        <v>154.4</v>
      </c>
      <c r="X290">
        <v>154.80000000000001</v>
      </c>
      <c r="Y290">
        <v>164.3</v>
      </c>
      <c r="Z290">
        <v>150.19999999999999</v>
      </c>
      <c r="AA290">
        <v>157</v>
      </c>
      <c r="AB290">
        <v>163.6</v>
      </c>
      <c r="AC290">
        <v>155.19999999999999</v>
      </c>
      <c r="AD290">
        <v>157.19999999999999</v>
      </c>
      <c r="AE290">
        <v>156.69999999999999</v>
      </c>
      <c r="AF290" t="str">
        <f>IF(AND(CPI_Data[[#This Row],[Date]]&gt;=DATE(2019,3,1),CPI_Data[[#This Row],[Date]]&lt;DATE(2020,3,1)),"Pre-COVID",IF(AND(CPI_Data[[#This Row],[Date]]&gt;=DATE(2020,3,1),CPI_Data[[#This Row],[Date]]&lt;DATE(2021,3,1)),"Post-COVID",""))</f>
        <v>Post-COVID</v>
      </c>
    </row>
    <row r="291" spans="1:32" x14ac:dyDescent="0.25">
      <c r="A291" t="s">
        <v>33</v>
      </c>
      <c r="B291">
        <v>2021</v>
      </c>
      <c r="C291" s="1" t="s">
        <v>35</v>
      </c>
      <c r="D291" s="2">
        <f>DATE(CPI_Data[[#This Row],[Year]],MATCH(CPI_Data[[#This Row],[Month]],{"January","February","March","April","May","June","July","August","September","October","November","December"},0),1)</f>
        <v>44228</v>
      </c>
      <c r="E291">
        <v>147.6</v>
      </c>
      <c r="F291">
        <v>191.2</v>
      </c>
      <c r="G291">
        <v>169.9</v>
      </c>
      <c r="H291">
        <v>155.1</v>
      </c>
      <c r="I291">
        <v>151.4</v>
      </c>
      <c r="J291">
        <v>154</v>
      </c>
      <c r="K291">
        <v>180.2</v>
      </c>
      <c r="L291">
        <v>159.80000000000001</v>
      </c>
      <c r="M291">
        <v>114.9</v>
      </c>
      <c r="N291">
        <v>162.5</v>
      </c>
      <c r="O291">
        <v>149.19999999999999</v>
      </c>
      <c r="P291">
        <v>169.4</v>
      </c>
      <c r="Q291">
        <v>160.80000000000001</v>
      </c>
      <c r="R291">
        <v>193.3</v>
      </c>
      <c r="S291">
        <v>154.19999999999999</v>
      </c>
      <c r="T291">
        <v>138.19999999999999</v>
      </c>
      <c r="U291">
        <v>151.80000000000001</v>
      </c>
      <c r="V291">
        <v>159.80000000000001</v>
      </c>
      <c r="W291">
        <v>149.1</v>
      </c>
      <c r="X291">
        <v>146.5</v>
      </c>
      <c r="Y291">
        <v>156.30000000000001</v>
      </c>
      <c r="Z291">
        <v>140.5</v>
      </c>
      <c r="AA291">
        <v>147.30000000000001</v>
      </c>
      <c r="AB291">
        <v>156.6</v>
      </c>
      <c r="AC291">
        <v>156.69999999999999</v>
      </c>
      <c r="AD291">
        <v>149.30000000000001</v>
      </c>
      <c r="AE291">
        <v>156.5</v>
      </c>
      <c r="AF291" t="str">
        <f>IF(AND(CPI_Data[[#This Row],[Date]]&gt;=DATE(2019,3,1),CPI_Data[[#This Row],[Date]]&lt;DATE(2020,3,1)),"Pre-COVID",IF(AND(CPI_Data[[#This Row],[Date]]&gt;=DATE(2020,3,1),CPI_Data[[#This Row],[Date]]&lt;DATE(2021,3,1)),"Post-COVID",""))</f>
        <v>Post-COVID</v>
      </c>
    </row>
    <row r="292" spans="1:32" x14ac:dyDescent="0.25">
      <c r="A292" t="s">
        <v>34</v>
      </c>
      <c r="B292">
        <v>2021</v>
      </c>
      <c r="C292" s="1" t="s">
        <v>35</v>
      </c>
      <c r="D292" s="2">
        <f>DATE(CPI_Data[[#This Row],[Year]],MATCH(CPI_Data[[#This Row],[Month]],{"January","February","March","April","May","June","July","August","September","October","November","December"},0),1)</f>
        <v>44228</v>
      </c>
      <c r="E292">
        <v>144.30000000000001</v>
      </c>
      <c r="F292">
        <v>186.5</v>
      </c>
      <c r="G292">
        <v>168.7</v>
      </c>
      <c r="H292">
        <v>154.69999999999999</v>
      </c>
      <c r="I292">
        <v>158.69999999999999</v>
      </c>
      <c r="J292">
        <v>150.69999999999999</v>
      </c>
      <c r="K292">
        <v>160</v>
      </c>
      <c r="L292">
        <v>158.80000000000001</v>
      </c>
      <c r="M292">
        <v>112.8</v>
      </c>
      <c r="N292">
        <v>164.2</v>
      </c>
      <c r="O292">
        <v>155.5</v>
      </c>
      <c r="P292">
        <v>167.5</v>
      </c>
      <c r="Q292">
        <v>156.9</v>
      </c>
      <c r="R292">
        <v>188.3</v>
      </c>
      <c r="S292">
        <v>157.19999999999999</v>
      </c>
      <c r="T292">
        <v>147.4</v>
      </c>
      <c r="U292">
        <v>155.80000000000001</v>
      </c>
      <c r="V292">
        <v>159.80000000000001</v>
      </c>
      <c r="W292">
        <v>152.4</v>
      </c>
      <c r="X292">
        <v>150.9</v>
      </c>
      <c r="Y292">
        <v>161.30000000000001</v>
      </c>
      <c r="Z292">
        <v>145.1</v>
      </c>
      <c r="AA292">
        <v>151.5</v>
      </c>
      <c r="AB292">
        <v>159.5</v>
      </c>
      <c r="AC292">
        <v>155.80000000000001</v>
      </c>
      <c r="AD292">
        <v>153.4</v>
      </c>
      <c r="AE292">
        <v>156.6</v>
      </c>
      <c r="AF292" t="str">
        <f>IF(AND(CPI_Data[[#This Row],[Date]]&gt;=DATE(2019,3,1),CPI_Data[[#This Row],[Date]]&lt;DATE(2020,3,1)),"Pre-COVID",IF(AND(CPI_Data[[#This Row],[Date]]&gt;=DATE(2020,3,1),CPI_Data[[#This Row],[Date]]&lt;DATE(2021,3,1)),"Post-COVID",""))</f>
        <v>Post-COVID</v>
      </c>
    </row>
    <row r="293" spans="1:32" x14ac:dyDescent="0.25">
      <c r="A293" t="s">
        <v>30</v>
      </c>
      <c r="B293">
        <v>2021</v>
      </c>
      <c r="C293" s="1" t="s">
        <v>36</v>
      </c>
      <c r="D293" s="2">
        <f>DATE(CPI_Data[[#This Row],[Year]],MATCH(CPI_Data[[#This Row],[Month]],{"January","February","March","April","May","June","July","August","September","October","November","December"},0),1)</f>
        <v>44256</v>
      </c>
      <c r="E293">
        <v>142.5</v>
      </c>
      <c r="F293">
        <v>189.4</v>
      </c>
      <c r="G293">
        <v>163.19999999999999</v>
      </c>
      <c r="H293">
        <v>154.5</v>
      </c>
      <c r="I293">
        <v>168.2</v>
      </c>
      <c r="J293">
        <v>150.5</v>
      </c>
      <c r="K293">
        <v>141</v>
      </c>
      <c r="L293">
        <v>159.19999999999999</v>
      </c>
      <c r="M293">
        <v>111.7</v>
      </c>
      <c r="N293">
        <v>164</v>
      </c>
      <c r="O293">
        <v>160.6</v>
      </c>
      <c r="P293">
        <v>166.4</v>
      </c>
      <c r="Q293">
        <v>154.5</v>
      </c>
      <c r="R293">
        <v>186.1</v>
      </c>
      <c r="S293">
        <v>159.6</v>
      </c>
      <c r="T293">
        <v>154.4</v>
      </c>
      <c r="U293">
        <v>158.9</v>
      </c>
      <c r="V293" t="s">
        <v>48</v>
      </c>
      <c r="W293">
        <v>156</v>
      </c>
      <c r="X293">
        <v>154.80000000000001</v>
      </c>
      <c r="Y293">
        <v>164.6</v>
      </c>
      <c r="Z293">
        <v>151.30000000000001</v>
      </c>
      <c r="AA293">
        <v>157.80000000000001</v>
      </c>
      <c r="AB293">
        <v>163.80000000000001</v>
      </c>
      <c r="AC293">
        <v>153.1</v>
      </c>
      <c r="AD293">
        <v>157.30000000000001</v>
      </c>
      <c r="AE293">
        <v>156.69999999999999</v>
      </c>
      <c r="AF293" t="str">
        <f>IF(AND(CPI_Data[[#This Row],[Date]]&gt;=DATE(2019,3,1),CPI_Data[[#This Row],[Date]]&lt;DATE(2020,3,1)),"Pre-COVID",IF(AND(CPI_Data[[#This Row],[Date]]&gt;=DATE(2020,3,1),CPI_Data[[#This Row],[Date]]&lt;DATE(2021,3,1)),"Post-COVID",""))</f>
        <v/>
      </c>
    </row>
    <row r="294" spans="1:32" x14ac:dyDescent="0.25">
      <c r="A294" t="s">
        <v>33</v>
      </c>
      <c r="B294">
        <v>2021</v>
      </c>
      <c r="C294" s="1" t="s">
        <v>36</v>
      </c>
      <c r="D294" s="2">
        <f>DATE(CPI_Data[[#This Row],[Year]],MATCH(CPI_Data[[#This Row],[Month]],{"January","February","March","April","May","June","July","August","September","October","November","December"},0),1)</f>
        <v>44256</v>
      </c>
      <c r="E294">
        <v>147.5</v>
      </c>
      <c r="F294">
        <v>197.5</v>
      </c>
      <c r="G294">
        <v>164.7</v>
      </c>
      <c r="H294">
        <v>155.6</v>
      </c>
      <c r="I294">
        <v>156.4</v>
      </c>
      <c r="J294">
        <v>157.30000000000001</v>
      </c>
      <c r="K294">
        <v>166.1</v>
      </c>
      <c r="L294">
        <v>161.1</v>
      </c>
      <c r="M294">
        <v>114.3</v>
      </c>
      <c r="N294">
        <v>162.6</v>
      </c>
      <c r="O294">
        <v>150.69999999999999</v>
      </c>
      <c r="P294">
        <v>170.3</v>
      </c>
      <c r="Q294">
        <v>160.4</v>
      </c>
      <c r="R294">
        <v>193.5</v>
      </c>
      <c r="S294">
        <v>155.1</v>
      </c>
      <c r="T294">
        <v>138.69999999999999</v>
      </c>
      <c r="U294">
        <v>152.6</v>
      </c>
      <c r="V294">
        <v>159.9</v>
      </c>
      <c r="W294">
        <v>154.80000000000001</v>
      </c>
      <c r="X294">
        <v>147.19999999999999</v>
      </c>
      <c r="Y294">
        <v>156.9</v>
      </c>
      <c r="Z294">
        <v>141.69999999999999</v>
      </c>
      <c r="AA294">
        <v>148.6</v>
      </c>
      <c r="AB294">
        <v>157.6</v>
      </c>
      <c r="AC294">
        <v>154.9</v>
      </c>
      <c r="AD294">
        <v>150</v>
      </c>
      <c r="AE294">
        <v>156.9</v>
      </c>
      <c r="AF294" t="str">
        <f>IF(AND(CPI_Data[[#This Row],[Date]]&gt;=DATE(2019,3,1),CPI_Data[[#This Row],[Date]]&lt;DATE(2020,3,1)),"Pre-COVID",IF(AND(CPI_Data[[#This Row],[Date]]&gt;=DATE(2020,3,1),CPI_Data[[#This Row],[Date]]&lt;DATE(2021,3,1)),"Post-COVID",""))</f>
        <v/>
      </c>
    </row>
    <row r="295" spans="1:32" x14ac:dyDescent="0.25">
      <c r="A295" t="s">
        <v>34</v>
      </c>
      <c r="B295">
        <v>2021</v>
      </c>
      <c r="C295" s="1" t="s">
        <v>36</v>
      </c>
      <c r="D295" s="2">
        <f>DATE(CPI_Data[[#This Row],[Year]],MATCH(CPI_Data[[#This Row],[Month]],{"January","February","March","April","May","June","July","August","September","October","November","December"},0),1)</f>
        <v>44256</v>
      </c>
      <c r="E295">
        <v>144.1</v>
      </c>
      <c r="F295">
        <v>192.2</v>
      </c>
      <c r="G295">
        <v>163.80000000000001</v>
      </c>
      <c r="H295">
        <v>154.9</v>
      </c>
      <c r="I295">
        <v>163.9</v>
      </c>
      <c r="J295">
        <v>153.69999999999999</v>
      </c>
      <c r="K295">
        <v>149.5</v>
      </c>
      <c r="L295">
        <v>159.80000000000001</v>
      </c>
      <c r="M295">
        <v>112.6</v>
      </c>
      <c r="N295">
        <v>163.5</v>
      </c>
      <c r="O295">
        <v>156.5</v>
      </c>
      <c r="P295">
        <v>168.2</v>
      </c>
      <c r="Q295">
        <v>156.69999999999999</v>
      </c>
      <c r="R295">
        <v>188.1</v>
      </c>
      <c r="S295">
        <v>157.80000000000001</v>
      </c>
      <c r="T295">
        <v>147.9</v>
      </c>
      <c r="U295">
        <v>156.4</v>
      </c>
      <c r="V295">
        <v>159.9</v>
      </c>
      <c r="W295">
        <v>155.5</v>
      </c>
      <c r="X295">
        <v>151.19999999999999</v>
      </c>
      <c r="Y295">
        <v>161.69999999999999</v>
      </c>
      <c r="Z295">
        <v>146.19999999999999</v>
      </c>
      <c r="AA295">
        <v>152.6</v>
      </c>
      <c r="AB295">
        <v>160.19999999999999</v>
      </c>
      <c r="AC295">
        <v>153.80000000000001</v>
      </c>
      <c r="AD295">
        <v>153.80000000000001</v>
      </c>
      <c r="AE295">
        <v>156.80000000000001</v>
      </c>
      <c r="AF295" t="str">
        <f>IF(AND(CPI_Data[[#This Row],[Date]]&gt;=DATE(2019,3,1),CPI_Data[[#This Row],[Date]]&lt;DATE(2020,3,1)),"Pre-COVID",IF(AND(CPI_Data[[#This Row],[Date]]&gt;=DATE(2020,3,1),CPI_Data[[#This Row],[Date]]&lt;DATE(2021,3,1)),"Post-COVID",""))</f>
        <v/>
      </c>
    </row>
    <row r="296" spans="1:32" x14ac:dyDescent="0.25">
      <c r="A296" t="s">
        <v>30</v>
      </c>
      <c r="B296">
        <v>2021</v>
      </c>
      <c r="C296" s="1" t="s">
        <v>37</v>
      </c>
      <c r="D296" s="2">
        <f>DATE(CPI_Data[[#This Row],[Year]],MATCH(CPI_Data[[#This Row],[Month]],{"January","February","March","April","May","June","July","August","September","October","November","December"},0),1)</f>
        <v>44287</v>
      </c>
      <c r="E296">
        <v>142.69999999999999</v>
      </c>
      <c r="F296">
        <v>195.5</v>
      </c>
      <c r="G296">
        <v>163.4</v>
      </c>
      <c r="H296">
        <v>155</v>
      </c>
      <c r="I296">
        <v>175.2</v>
      </c>
      <c r="J296">
        <v>160.6</v>
      </c>
      <c r="K296">
        <v>135.1</v>
      </c>
      <c r="L296">
        <v>161.1</v>
      </c>
      <c r="M296">
        <v>112.2</v>
      </c>
      <c r="N296">
        <v>164.4</v>
      </c>
      <c r="O296">
        <v>161.9</v>
      </c>
      <c r="P296">
        <v>166.8</v>
      </c>
      <c r="Q296">
        <v>155.6</v>
      </c>
      <c r="R296">
        <v>186.8</v>
      </c>
      <c r="S296">
        <v>160.69999999999999</v>
      </c>
      <c r="T296">
        <v>155.1</v>
      </c>
      <c r="U296">
        <v>159.9</v>
      </c>
      <c r="V296" t="s">
        <v>48</v>
      </c>
      <c r="W296">
        <v>156</v>
      </c>
      <c r="X296">
        <v>155.5</v>
      </c>
      <c r="Y296">
        <v>165.3</v>
      </c>
      <c r="Z296">
        <v>151.69999999999999</v>
      </c>
      <c r="AA296">
        <v>158.6</v>
      </c>
      <c r="AB296">
        <v>164.1</v>
      </c>
      <c r="AC296">
        <v>154.6</v>
      </c>
      <c r="AD296">
        <v>158</v>
      </c>
      <c r="AE296">
        <v>157.6</v>
      </c>
      <c r="AF296" t="str">
        <f>IF(AND(CPI_Data[[#This Row],[Date]]&gt;=DATE(2019,3,1),CPI_Data[[#This Row],[Date]]&lt;DATE(2020,3,1)),"Pre-COVID",IF(AND(CPI_Data[[#This Row],[Date]]&gt;=DATE(2020,3,1),CPI_Data[[#This Row],[Date]]&lt;DATE(2021,3,1)),"Post-COVID",""))</f>
        <v/>
      </c>
    </row>
    <row r="297" spans="1:32" x14ac:dyDescent="0.25">
      <c r="A297" t="s">
        <v>33</v>
      </c>
      <c r="B297">
        <v>2021</v>
      </c>
      <c r="C297" s="1" t="s">
        <v>37</v>
      </c>
      <c r="D297" s="2">
        <f>DATE(CPI_Data[[#This Row],[Year]],MATCH(CPI_Data[[#This Row],[Month]],{"January","February","March","April","May","June","July","August","September","October","November","December"},0),1)</f>
        <v>44287</v>
      </c>
      <c r="E297">
        <v>147.6</v>
      </c>
      <c r="F297">
        <v>202.5</v>
      </c>
      <c r="G297">
        <v>166.4</v>
      </c>
      <c r="H297">
        <v>156</v>
      </c>
      <c r="I297">
        <v>161.4</v>
      </c>
      <c r="J297">
        <v>168.8</v>
      </c>
      <c r="K297">
        <v>161.6</v>
      </c>
      <c r="L297">
        <v>162.80000000000001</v>
      </c>
      <c r="M297">
        <v>114.8</v>
      </c>
      <c r="N297">
        <v>162.80000000000001</v>
      </c>
      <c r="O297">
        <v>151.5</v>
      </c>
      <c r="P297">
        <v>171.4</v>
      </c>
      <c r="Q297">
        <v>162</v>
      </c>
      <c r="R297">
        <v>194.4</v>
      </c>
      <c r="S297">
        <v>155.9</v>
      </c>
      <c r="T297">
        <v>139.30000000000001</v>
      </c>
      <c r="U297">
        <v>153.4</v>
      </c>
      <c r="V297">
        <v>161.4</v>
      </c>
      <c r="W297">
        <v>154.9</v>
      </c>
      <c r="X297">
        <v>147.6</v>
      </c>
      <c r="Y297">
        <v>157.5</v>
      </c>
      <c r="Z297">
        <v>142.1</v>
      </c>
      <c r="AA297">
        <v>149.1</v>
      </c>
      <c r="AB297">
        <v>157.6</v>
      </c>
      <c r="AC297">
        <v>156.6</v>
      </c>
      <c r="AD297">
        <v>150.5</v>
      </c>
      <c r="AE297">
        <v>158</v>
      </c>
      <c r="AF297" t="str">
        <f>IF(AND(CPI_Data[[#This Row],[Date]]&gt;=DATE(2019,3,1),CPI_Data[[#This Row],[Date]]&lt;DATE(2020,3,1)),"Pre-COVID",IF(AND(CPI_Data[[#This Row],[Date]]&gt;=DATE(2020,3,1),CPI_Data[[#This Row],[Date]]&lt;DATE(2021,3,1)),"Post-COVID",""))</f>
        <v/>
      </c>
    </row>
    <row r="298" spans="1:32" x14ac:dyDescent="0.25">
      <c r="A298" t="s">
        <v>34</v>
      </c>
      <c r="B298">
        <v>2021</v>
      </c>
      <c r="C298" s="1" t="s">
        <v>37</v>
      </c>
      <c r="D298" s="2">
        <f>DATE(CPI_Data[[#This Row],[Year]],MATCH(CPI_Data[[#This Row],[Month]],{"January","February","March","April","May","June","July","August","September","October","November","December"},0),1)</f>
        <v>44287</v>
      </c>
      <c r="E298">
        <v>144.30000000000001</v>
      </c>
      <c r="F298">
        <v>198</v>
      </c>
      <c r="G298">
        <v>164.6</v>
      </c>
      <c r="H298">
        <v>155.4</v>
      </c>
      <c r="I298">
        <v>170.1</v>
      </c>
      <c r="J298">
        <v>164.4</v>
      </c>
      <c r="K298">
        <v>144.1</v>
      </c>
      <c r="L298">
        <v>161.69999999999999</v>
      </c>
      <c r="M298">
        <v>113.1</v>
      </c>
      <c r="N298">
        <v>163.9</v>
      </c>
      <c r="O298">
        <v>157.6</v>
      </c>
      <c r="P298">
        <v>168.9</v>
      </c>
      <c r="Q298">
        <v>158</v>
      </c>
      <c r="R298">
        <v>188.8</v>
      </c>
      <c r="S298">
        <v>158.80000000000001</v>
      </c>
      <c r="T298">
        <v>148.5</v>
      </c>
      <c r="U298">
        <v>157.30000000000001</v>
      </c>
      <c r="V298">
        <v>161.4</v>
      </c>
      <c r="W298">
        <v>155.6</v>
      </c>
      <c r="X298">
        <v>151.80000000000001</v>
      </c>
      <c r="Y298">
        <v>162.30000000000001</v>
      </c>
      <c r="Z298">
        <v>146.6</v>
      </c>
      <c r="AA298">
        <v>153.19999999999999</v>
      </c>
      <c r="AB298">
        <v>160.30000000000001</v>
      </c>
      <c r="AC298">
        <v>155.4</v>
      </c>
      <c r="AD298">
        <v>154.4</v>
      </c>
      <c r="AE298">
        <v>157.80000000000001</v>
      </c>
      <c r="AF298" t="str">
        <f>IF(AND(CPI_Data[[#This Row],[Date]]&gt;=DATE(2019,3,1),CPI_Data[[#This Row],[Date]]&lt;DATE(2020,3,1)),"Pre-COVID",IF(AND(CPI_Data[[#This Row],[Date]]&gt;=DATE(2020,3,1),CPI_Data[[#This Row],[Date]]&lt;DATE(2021,3,1)),"Post-COVID",""))</f>
        <v/>
      </c>
    </row>
    <row r="299" spans="1:32" x14ac:dyDescent="0.25">
      <c r="A299" t="s">
        <v>30</v>
      </c>
      <c r="B299">
        <v>2021</v>
      </c>
      <c r="C299" s="1" t="s">
        <v>38</v>
      </c>
      <c r="D299" s="2">
        <f>DATE(CPI_Data[[#This Row],[Year]],MATCH(CPI_Data[[#This Row],[Month]],{"January","February","March","April","May","June","July","August","September","October","November","December"},0),1)</f>
        <v>44317</v>
      </c>
      <c r="E299">
        <v>145.1</v>
      </c>
      <c r="F299">
        <v>198.5</v>
      </c>
      <c r="G299">
        <v>168.6</v>
      </c>
      <c r="H299">
        <v>155.80000000000001</v>
      </c>
      <c r="I299">
        <v>184.4</v>
      </c>
      <c r="J299">
        <v>162.30000000000001</v>
      </c>
      <c r="K299">
        <v>138.4</v>
      </c>
      <c r="L299">
        <v>165.1</v>
      </c>
      <c r="M299">
        <v>114.3</v>
      </c>
      <c r="N299">
        <v>169.7</v>
      </c>
      <c r="O299">
        <v>164.6</v>
      </c>
      <c r="P299">
        <v>169.8</v>
      </c>
      <c r="Q299">
        <v>158.69999999999999</v>
      </c>
      <c r="R299">
        <v>189.6</v>
      </c>
      <c r="S299">
        <v>165.3</v>
      </c>
      <c r="T299">
        <v>160.6</v>
      </c>
      <c r="U299">
        <v>164.5</v>
      </c>
      <c r="V299" t="s">
        <v>32</v>
      </c>
      <c r="W299">
        <v>161.69999999999999</v>
      </c>
      <c r="X299">
        <v>158.80000000000001</v>
      </c>
      <c r="Y299">
        <v>169.1</v>
      </c>
      <c r="Z299">
        <v>153.19999999999999</v>
      </c>
      <c r="AA299">
        <v>160</v>
      </c>
      <c r="AB299">
        <v>167.6</v>
      </c>
      <c r="AC299">
        <v>159.30000000000001</v>
      </c>
      <c r="AD299">
        <v>161.1</v>
      </c>
      <c r="AE299">
        <v>161.1</v>
      </c>
      <c r="AF299" t="str">
        <f>IF(AND(CPI_Data[[#This Row],[Date]]&gt;=DATE(2019,3,1),CPI_Data[[#This Row],[Date]]&lt;DATE(2020,3,1)),"Pre-COVID",IF(AND(CPI_Data[[#This Row],[Date]]&gt;=DATE(2020,3,1),CPI_Data[[#This Row],[Date]]&lt;DATE(2021,3,1)),"Post-COVID",""))</f>
        <v/>
      </c>
    </row>
    <row r="300" spans="1:32" x14ac:dyDescent="0.25">
      <c r="A300" t="s">
        <v>33</v>
      </c>
      <c r="B300">
        <v>2021</v>
      </c>
      <c r="C300" s="1" t="s">
        <v>38</v>
      </c>
      <c r="D300" s="2">
        <f>DATE(CPI_Data[[#This Row],[Year]],MATCH(CPI_Data[[#This Row],[Month]],{"January","February","March","April","May","June","July","August","September","October","November","December"},0),1)</f>
        <v>44317</v>
      </c>
      <c r="E300">
        <v>148.80000000000001</v>
      </c>
      <c r="F300">
        <v>204.3</v>
      </c>
      <c r="G300">
        <v>173</v>
      </c>
      <c r="H300">
        <v>156.5</v>
      </c>
      <c r="I300">
        <v>168.8</v>
      </c>
      <c r="J300">
        <v>172.5</v>
      </c>
      <c r="K300">
        <v>166.5</v>
      </c>
      <c r="L300">
        <v>165.9</v>
      </c>
      <c r="M300">
        <v>115.9</v>
      </c>
      <c r="N300">
        <v>165.2</v>
      </c>
      <c r="O300">
        <v>152</v>
      </c>
      <c r="P300">
        <v>171.1</v>
      </c>
      <c r="Q300">
        <v>164.2</v>
      </c>
      <c r="R300">
        <v>198.2</v>
      </c>
      <c r="S300">
        <v>156.5</v>
      </c>
      <c r="T300">
        <v>140.19999999999999</v>
      </c>
      <c r="U300">
        <v>154.1</v>
      </c>
      <c r="V300">
        <v>161.6</v>
      </c>
      <c r="W300">
        <v>155.5</v>
      </c>
      <c r="X300">
        <v>150.1</v>
      </c>
      <c r="Y300">
        <v>160.4</v>
      </c>
      <c r="Z300">
        <v>145</v>
      </c>
      <c r="AA300">
        <v>152.6</v>
      </c>
      <c r="AB300">
        <v>156.6</v>
      </c>
      <c r="AC300">
        <v>157.5</v>
      </c>
      <c r="AD300">
        <v>152.30000000000001</v>
      </c>
      <c r="AE300">
        <v>159.5</v>
      </c>
      <c r="AF300" t="str">
        <f>IF(AND(CPI_Data[[#This Row],[Date]]&gt;=DATE(2019,3,1),CPI_Data[[#This Row],[Date]]&lt;DATE(2020,3,1)),"Pre-COVID",IF(AND(CPI_Data[[#This Row],[Date]]&gt;=DATE(2020,3,1),CPI_Data[[#This Row],[Date]]&lt;DATE(2021,3,1)),"Post-COVID",""))</f>
        <v/>
      </c>
    </row>
    <row r="301" spans="1:32" x14ac:dyDescent="0.25">
      <c r="A301" t="s">
        <v>34</v>
      </c>
      <c r="B301">
        <v>2021</v>
      </c>
      <c r="C301" s="1" t="s">
        <v>38</v>
      </c>
      <c r="D301" s="2">
        <f>DATE(CPI_Data[[#This Row],[Year]],MATCH(CPI_Data[[#This Row],[Month]],{"January","February","March","April","May","June","July","August","September","October","November","December"},0),1)</f>
        <v>44317</v>
      </c>
      <c r="E301">
        <v>146.30000000000001</v>
      </c>
      <c r="F301">
        <v>200.5</v>
      </c>
      <c r="G301">
        <v>170.3</v>
      </c>
      <c r="H301">
        <v>156.1</v>
      </c>
      <c r="I301">
        <v>178.7</v>
      </c>
      <c r="J301">
        <v>167.1</v>
      </c>
      <c r="K301">
        <v>147.9</v>
      </c>
      <c r="L301">
        <v>165.4</v>
      </c>
      <c r="M301">
        <v>114.8</v>
      </c>
      <c r="N301">
        <v>168.2</v>
      </c>
      <c r="O301">
        <v>159.30000000000001</v>
      </c>
      <c r="P301">
        <v>170.4</v>
      </c>
      <c r="Q301">
        <v>160.69999999999999</v>
      </c>
      <c r="R301">
        <v>191.9</v>
      </c>
      <c r="S301">
        <v>161.80000000000001</v>
      </c>
      <c r="T301">
        <v>152.1</v>
      </c>
      <c r="U301">
        <v>160.4</v>
      </c>
      <c r="V301">
        <v>161.6</v>
      </c>
      <c r="W301">
        <v>159.4</v>
      </c>
      <c r="X301">
        <v>154.69999999999999</v>
      </c>
      <c r="Y301">
        <v>165.8</v>
      </c>
      <c r="Z301">
        <v>148.9</v>
      </c>
      <c r="AA301">
        <v>155.80000000000001</v>
      </c>
      <c r="AB301">
        <v>161.19999999999999</v>
      </c>
      <c r="AC301">
        <v>158.6</v>
      </c>
      <c r="AD301">
        <v>156.80000000000001</v>
      </c>
      <c r="AE301">
        <v>160.4</v>
      </c>
      <c r="AF301" t="str">
        <f>IF(AND(CPI_Data[[#This Row],[Date]]&gt;=DATE(2019,3,1),CPI_Data[[#This Row],[Date]]&lt;DATE(2020,3,1)),"Pre-COVID",IF(AND(CPI_Data[[#This Row],[Date]]&gt;=DATE(2020,3,1),CPI_Data[[#This Row],[Date]]&lt;DATE(2021,3,1)),"Post-COVID",""))</f>
        <v/>
      </c>
    </row>
    <row r="302" spans="1:32" x14ac:dyDescent="0.25">
      <c r="A302" t="s">
        <v>30</v>
      </c>
      <c r="B302">
        <v>2021</v>
      </c>
      <c r="C302" s="1" t="s">
        <v>39</v>
      </c>
      <c r="D302" s="2">
        <f>DATE(CPI_Data[[#This Row],[Year]],MATCH(CPI_Data[[#This Row],[Month]],{"January","February","March","April","May","June","July","August","September","October","November","December"},0),1)</f>
        <v>44348</v>
      </c>
      <c r="E302">
        <v>145.6</v>
      </c>
      <c r="F302">
        <v>200.1</v>
      </c>
      <c r="G302">
        <v>179.3</v>
      </c>
      <c r="H302">
        <v>156.1</v>
      </c>
      <c r="I302">
        <v>190.4</v>
      </c>
      <c r="J302">
        <v>158.6</v>
      </c>
      <c r="K302">
        <v>144.69999999999999</v>
      </c>
      <c r="L302">
        <v>165.5</v>
      </c>
      <c r="M302">
        <v>114.6</v>
      </c>
      <c r="N302">
        <v>170</v>
      </c>
      <c r="O302">
        <v>165.5</v>
      </c>
      <c r="P302">
        <v>171.7</v>
      </c>
      <c r="Q302">
        <v>160.5</v>
      </c>
      <c r="R302">
        <v>189.1</v>
      </c>
      <c r="S302">
        <v>165.3</v>
      </c>
      <c r="T302">
        <v>159.9</v>
      </c>
      <c r="U302">
        <v>164.6</v>
      </c>
      <c r="V302" t="s">
        <v>32</v>
      </c>
      <c r="W302">
        <v>162.1</v>
      </c>
      <c r="X302">
        <v>159.19999999999999</v>
      </c>
      <c r="Y302">
        <v>169.7</v>
      </c>
      <c r="Z302">
        <v>154.19999999999999</v>
      </c>
      <c r="AA302">
        <v>160.4</v>
      </c>
      <c r="AB302">
        <v>166.8</v>
      </c>
      <c r="AC302">
        <v>159.4</v>
      </c>
      <c r="AD302">
        <v>161.5</v>
      </c>
      <c r="AE302">
        <v>162.1</v>
      </c>
      <c r="AF302" t="str">
        <f>IF(AND(CPI_Data[[#This Row],[Date]]&gt;=DATE(2019,3,1),CPI_Data[[#This Row],[Date]]&lt;DATE(2020,3,1)),"Pre-COVID",IF(AND(CPI_Data[[#This Row],[Date]]&gt;=DATE(2020,3,1),CPI_Data[[#This Row],[Date]]&lt;DATE(2021,3,1)),"Post-COVID",""))</f>
        <v/>
      </c>
    </row>
    <row r="303" spans="1:32" x14ac:dyDescent="0.25">
      <c r="A303" t="s">
        <v>33</v>
      </c>
      <c r="B303">
        <v>2021</v>
      </c>
      <c r="C303" s="1" t="s">
        <v>39</v>
      </c>
      <c r="D303" s="2">
        <f>DATE(CPI_Data[[#This Row],[Year]],MATCH(CPI_Data[[#This Row],[Month]],{"January","February","March","April","May","June","July","August","September","October","November","December"},0),1)</f>
        <v>44348</v>
      </c>
      <c r="E303">
        <v>149.19999999999999</v>
      </c>
      <c r="F303">
        <v>205.5</v>
      </c>
      <c r="G303">
        <v>182.8</v>
      </c>
      <c r="H303">
        <v>156.5</v>
      </c>
      <c r="I303">
        <v>172.2</v>
      </c>
      <c r="J303">
        <v>171.5</v>
      </c>
      <c r="K303">
        <v>176.2</v>
      </c>
      <c r="L303">
        <v>166.9</v>
      </c>
      <c r="M303">
        <v>116.1</v>
      </c>
      <c r="N303">
        <v>165.5</v>
      </c>
      <c r="O303">
        <v>152.30000000000001</v>
      </c>
      <c r="P303">
        <v>173.3</v>
      </c>
      <c r="Q303">
        <v>166.2</v>
      </c>
      <c r="R303">
        <v>195.6</v>
      </c>
      <c r="S303">
        <v>157.30000000000001</v>
      </c>
      <c r="T303">
        <v>140.5</v>
      </c>
      <c r="U303">
        <v>154.80000000000001</v>
      </c>
      <c r="V303">
        <v>160.5</v>
      </c>
      <c r="W303">
        <v>156.1</v>
      </c>
      <c r="X303">
        <v>149.80000000000001</v>
      </c>
      <c r="Y303">
        <v>160.80000000000001</v>
      </c>
      <c r="Z303">
        <v>147.5</v>
      </c>
      <c r="AA303">
        <v>150.69999999999999</v>
      </c>
      <c r="AB303">
        <v>158.1</v>
      </c>
      <c r="AC303">
        <v>158</v>
      </c>
      <c r="AD303">
        <v>153.4</v>
      </c>
      <c r="AE303">
        <v>160.4</v>
      </c>
      <c r="AF303" t="str">
        <f>IF(AND(CPI_Data[[#This Row],[Date]]&gt;=DATE(2019,3,1),CPI_Data[[#This Row],[Date]]&lt;DATE(2020,3,1)),"Pre-COVID",IF(AND(CPI_Data[[#This Row],[Date]]&gt;=DATE(2020,3,1),CPI_Data[[#This Row],[Date]]&lt;DATE(2021,3,1)),"Post-COVID",""))</f>
        <v/>
      </c>
    </row>
    <row r="304" spans="1:32" x14ac:dyDescent="0.25">
      <c r="A304" t="s">
        <v>34</v>
      </c>
      <c r="B304">
        <v>2021</v>
      </c>
      <c r="C304" s="1" t="s">
        <v>39</v>
      </c>
      <c r="D304" s="2">
        <f>DATE(CPI_Data[[#This Row],[Year]],MATCH(CPI_Data[[#This Row],[Month]],{"January","February","March","April","May","June","July","August","September","October","November","December"},0),1)</f>
        <v>44348</v>
      </c>
      <c r="E304">
        <v>146.69999999999999</v>
      </c>
      <c r="F304">
        <v>202</v>
      </c>
      <c r="G304">
        <v>180.7</v>
      </c>
      <c r="H304">
        <v>156.19999999999999</v>
      </c>
      <c r="I304">
        <v>183.7</v>
      </c>
      <c r="J304">
        <v>164.6</v>
      </c>
      <c r="K304">
        <v>155.4</v>
      </c>
      <c r="L304">
        <v>166</v>
      </c>
      <c r="M304">
        <v>115.1</v>
      </c>
      <c r="N304">
        <v>168.5</v>
      </c>
      <c r="O304">
        <v>160</v>
      </c>
      <c r="P304">
        <v>172.4</v>
      </c>
      <c r="Q304">
        <v>162.6</v>
      </c>
      <c r="R304">
        <v>190.8</v>
      </c>
      <c r="S304">
        <v>162.19999999999999</v>
      </c>
      <c r="T304">
        <v>151.80000000000001</v>
      </c>
      <c r="U304">
        <v>160.69999999999999</v>
      </c>
      <c r="V304">
        <v>160.5</v>
      </c>
      <c r="W304">
        <v>159.80000000000001</v>
      </c>
      <c r="X304">
        <v>154.80000000000001</v>
      </c>
      <c r="Y304">
        <v>166.3</v>
      </c>
      <c r="Z304">
        <v>150.69999999999999</v>
      </c>
      <c r="AA304">
        <v>154.9</v>
      </c>
      <c r="AB304">
        <v>161.69999999999999</v>
      </c>
      <c r="AC304">
        <v>158.80000000000001</v>
      </c>
      <c r="AD304">
        <v>157.6</v>
      </c>
      <c r="AE304">
        <v>161.30000000000001</v>
      </c>
      <c r="AF304" t="str">
        <f>IF(AND(CPI_Data[[#This Row],[Date]]&gt;=DATE(2019,3,1),CPI_Data[[#This Row],[Date]]&lt;DATE(2020,3,1)),"Pre-COVID",IF(AND(CPI_Data[[#This Row],[Date]]&gt;=DATE(2020,3,1),CPI_Data[[#This Row],[Date]]&lt;DATE(2021,3,1)),"Post-COVID",""))</f>
        <v/>
      </c>
    </row>
    <row r="305" spans="1:32" x14ac:dyDescent="0.25">
      <c r="A305" t="s">
        <v>30</v>
      </c>
      <c r="B305">
        <v>2021</v>
      </c>
      <c r="C305" s="1" t="s">
        <v>40</v>
      </c>
      <c r="D305" s="2">
        <f>DATE(CPI_Data[[#This Row],[Year]],MATCH(CPI_Data[[#This Row],[Month]],{"January","February","March","April","May","June","July","August","September","October","November","December"},0),1)</f>
        <v>44378</v>
      </c>
      <c r="E305">
        <v>145.1</v>
      </c>
      <c r="F305">
        <v>204.5</v>
      </c>
      <c r="G305">
        <v>180.4</v>
      </c>
      <c r="H305">
        <v>157.1</v>
      </c>
      <c r="I305">
        <v>188.7</v>
      </c>
      <c r="J305">
        <v>157.69999999999999</v>
      </c>
      <c r="K305">
        <v>152.80000000000001</v>
      </c>
      <c r="L305">
        <v>163.6</v>
      </c>
      <c r="M305">
        <v>113.9</v>
      </c>
      <c r="N305">
        <v>169.7</v>
      </c>
      <c r="O305">
        <v>166.2</v>
      </c>
      <c r="P305">
        <v>171</v>
      </c>
      <c r="Q305">
        <v>161.69999999999999</v>
      </c>
      <c r="R305">
        <v>189.7</v>
      </c>
      <c r="S305">
        <v>166</v>
      </c>
      <c r="T305">
        <v>161.1</v>
      </c>
      <c r="U305">
        <v>165.3</v>
      </c>
      <c r="V305" t="s">
        <v>32</v>
      </c>
      <c r="W305">
        <v>162.5</v>
      </c>
      <c r="X305">
        <v>160.30000000000001</v>
      </c>
      <c r="Y305">
        <v>170.4</v>
      </c>
      <c r="Z305">
        <v>157.1</v>
      </c>
      <c r="AA305">
        <v>160.69999999999999</v>
      </c>
      <c r="AB305">
        <v>167.2</v>
      </c>
      <c r="AC305">
        <v>160.4</v>
      </c>
      <c r="AD305">
        <v>162.80000000000001</v>
      </c>
      <c r="AE305">
        <v>163.19999999999999</v>
      </c>
      <c r="AF305" t="str">
        <f>IF(AND(CPI_Data[[#This Row],[Date]]&gt;=DATE(2019,3,1),CPI_Data[[#This Row],[Date]]&lt;DATE(2020,3,1)),"Pre-COVID",IF(AND(CPI_Data[[#This Row],[Date]]&gt;=DATE(2020,3,1),CPI_Data[[#This Row],[Date]]&lt;DATE(2021,3,1)),"Post-COVID",""))</f>
        <v/>
      </c>
    </row>
    <row r="306" spans="1:32" x14ac:dyDescent="0.25">
      <c r="A306" t="s">
        <v>33</v>
      </c>
      <c r="B306">
        <v>2021</v>
      </c>
      <c r="C306" s="1" t="s">
        <v>40</v>
      </c>
      <c r="D306" s="2">
        <f>DATE(CPI_Data[[#This Row],[Year]],MATCH(CPI_Data[[#This Row],[Month]],{"January","February","March","April","May","June","July","August","September","October","November","December"},0),1)</f>
        <v>44378</v>
      </c>
      <c r="E306">
        <v>149.1</v>
      </c>
      <c r="F306">
        <v>210.9</v>
      </c>
      <c r="G306">
        <v>185</v>
      </c>
      <c r="H306">
        <v>158.19999999999999</v>
      </c>
      <c r="I306">
        <v>170.6</v>
      </c>
      <c r="J306">
        <v>170.9</v>
      </c>
      <c r="K306">
        <v>186.4</v>
      </c>
      <c r="L306">
        <v>164.7</v>
      </c>
      <c r="M306">
        <v>115.7</v>
      </c>
      <c r="N306">
        <v>165.5</v>
      </c>
      <c r="O306">
        <v>153.4</v>
      </c>
      <c r="P306">
        <v>173.5</v>
      </c>
      <c r="Q306">
        <v>167.9</v>
      </c>
      <c r="R306">
        <v>195.5</v>
      </c>
      <c r="S306">
        <v>157.9</v>
      </c>
      <c r="T306">
        <v>141.9</v>
      </c>
      <c r="U306">
        <v>155.5</v>
      </c>
      <c r="V306">
        <v>161.5</v>
      </c>
      <c r="W306">
        <v>157.69999999999999</v>
      </c>
      <c r="X306">
        <v>150.69999999999999</v>
      </c>
      <c r="Y306">
        <v>161.5</v>
      </c>
      <c r="Z306">
        <v>149.5</v>
      </c>
      <c r="AA306">
        <v>151.19999999999999</v>
      </c>
      <c r="AB306">
        <v>160.30000000000001</v>
      </c>
      <c r="AC306">
        <v>159.6</v>
      </c>
      <c r="AD306">
        <v>155</v>
      </c>
      <c r="AE306">
        <v>161.80000000000001</v>
      </c>
      <c r="AF306" t="str">
        <f>IF(AND(CPI_Data[[#This Row],[Date]]&gt;=DATE(2019,3,1),CPI_Data[[#This Row],[Date]]&lt;DATE(2020,3,1)),"Pre-COVID",IF(AND(CPI_Data[[#This Row],[Date]]&gt;=DATE(2020,3,1),CPI_Data[[#This Row],[Date]]&lt;DATE(2021,3,1)),"Post-COVID",""))</f>
        <v/>
      </c>
    </row>
    <row r="307" spans="1:32" x14ac:dyDescent="0.25">
      <c r="A307" t="s">
        <v>34</v>
      </c>
      <c r="B307">
        <v>2021</v>
      </c>
      <c r="C307" s="1" t="s">
        <v>40</v>
      </c>
      <c r="D307" s="2">
        <f>DATE(CPI_Data[[#This Row],[Year]],MATCH(CPI_Data[[#This Row],[Month]],{"January","February","March","April","May","June","July","August","September","October","November","December"},0),1)</f>
        <v>44378</v>
      </c>
      <c r="E307">
        <v>146.4</v>
      </c>
      <c r="F307">
        <v>206.8</v>
      </c>
      <c r="G307">
        <v>182.2</v>
      </c>
      <c r="H307">
        <v>157.5</v>
      </c>
      <c r="I307">
        <v>182.1</v>
      </c>
      <c r="J307">
        <v>163.9</v>
      </c>
      <c r="K307">
        <v>164.2</v>
      </c>
      <c r="L307">
        <v>164</v>
      </c>
      <c r="M307">
        <v>114.5</v>
      </c>
      <c r="N307">
        <v>168.3</v>
      </c>
      <c r="O307">
        <v>160.9</v>
      </c>
      <c r="P307">
        <v>172.2</v>
      </c>
      <c r="Q307">
        <v>164</v>
      </c>
      <c r="R307">
        <v>191.2</v>
      </c>
      <c r="S307">
        <v>162.80000000000001</v>
      </c>
      <c r="T307">
        <v>153.1</v>
      </c>
      <c r="U307">
        <v>161.4</v>
      </c>
      <c r="V307">
        <v>161.5</v>
      </c>
      <c r="W307">
        <v>160.69999999999999</v>
      </c>
      <c r="X307">
        <v>155.80000000000001</v>
      </c>
      <c r="Y307">
        <v>167</v>
      </c>
      <c r="Z307">
        <v>153.1</v>
      </c>
      <c r="AA307">
        <v>155.30000000000001</v>
      </c>
      <c r="AB307">
        <v>163.19999999999999</v>
      </c>
      <c r="AC307">
        <v>160.1</v>
      </c>
      <c r="AD307">
        <v>159</v>
      </c>
      <c r="AE307">
        <v>162.5</v>
      </c>
      <c r="AF307" t="str">
        <f>IF(AND(CPI_Data[[#This Row],[Date]]&gt;=DATE(2019,3,1),CPI_Data[[#This Row],[Date]]&lt;DATE(2020,3,1)),"Pre-COVID",IF(AND(CPI_Data[[#This Row],[Date]]&gt;=DATE(2020,3,1),CPI_Data[[#This Row],[Date]]&lt;DATE(2021,3,1)),"Post-COVID",""))</f>
        <v/>
      </c>
    </row>
    <row r="308" spans="1:32" x14ac:dyDescent="0.25">
      <c r="A308" t="s">
        <v>30</v>
      </c>
      <c r="B308">
        <v>2021</v>
      </c>
      <c r="C308" s="1" t="s">
        <v>41</v>
      </c>
      <c r="D308" s="2">
        <f>DATE(CPI_Data[[#This Row],[Year]],MATCH(CPI_Data[[#This Row],[Month]],{"January","February","March","April","May","June","July","August","September","October","November","December"},0),1)</f>
        <v>44409</v>
      </c>
      <c r="E308">
        <v>144.9</v>
      </c>
      <c r="F308">
        <v>202.3</v>
      </c>
      <c r="G308">
        <v>176.5</v>
      </c>
      <c r="H308">
        <v>157.5</v>
      </c>
      <c r="I308">
        <v>190.9</v>
      </c>
      <c r="J308">
        <v>155.69999999999999</v>
      </c>
      <c r="K308">
        <v>153.9</v>
      </c>
      <c r="L308">
        <v>162.80000000000001</v>
      </c>
      <c r="M308">
        <v>115.2</v>
      </c>
      <c r="N308">
        <v>169.8</v>
      </c>
      <c r="O308">
        <v>167.6</v>
      </c>
      <c r="P308">
        <v>171.9</v>
      </c>
      <c r="Q308">
        <v>161.80000000000001</v>
      </c>
      <c r="R308">
        <v>190.2</v>
      </c>
      <c r="S308">
        <v>167</v>
      </c>
      <c r="T308">
        <v>162.6</v>
      </c>
      <c r="U308">
        <v>166.3</v>
      </c>
      <c r="V308" t="s">
        <v>32</v>
      </c>
      <c r="W308">
        <v>163.1</v>
      </c>
      <c r="X308">
        <v>160.9</v>
      </c>
      <c r="Y308">
        <v>171.1</v>
      </c>
      <c r="Z308">
        <v>157.69999999999999</v>
      </c>
      <c r="AA308">
        <v>161.1</v>
      </c>
      <c r="AB308">
        <v>167.5</v>
      </c>
      <c r="AC308">
        <v>160.30000000000001</v>
      </c>
      <c r="AD308">
        <v>163.30000000000001</v>
      </c>
      <c r="AE308">
        <v>163.6</v>
      </c>
      <c r="AF308" t="str">
        <f>IF(AND(CPI_Data[[#This Row],[Date]]&gt;=DATE(2019,3,1),CPI_Data[[#This Row],[Date]]&lt;DATE(2020,3,1)),"Pre-COVID",IF(AND(CPI_Data[[#This Row],[Date]]&gt;=DATE(2020,3,1),CPI_Data[[#This Row],[Date]]&lt;DATE(2021,3,1)),"Post-COVID",""))</f>
        <v/>
      </c>
    </row>
    <row r="309" spans="1:32" x14ac:dyDescent="0.25">
      <c r="A309" t="s">
        <v>33</v>
      </c>
      <c r="B309">
        <v>2021</v>
      </c>
      <c r="C309" s="1" t="s">
        <v>41</v>
      </c>
      <c r="D309" s="2">
        <f>DATE(CPI_Data[[#This Row],[Year]],MATCH(CPI_Data[[#This Row],[Month]],{"January","February","March","April","May","June","July","August","September","October","November","December"},0),1)</f>
        <v>44409</v>
      </c>
      <c r="E309">
        <v>149.30000000000001</v>
      </c>
      <c r="F309">
        <v>207.4</v>
      </c>
      <c r="G309">
        <v>174.1</v>
      </c>
      <c r="H309">
        <v>159.19999999999999</v>
      </c>
      <c r="I309">
        <v>175</v>
      </c>
      <c r="J309">
        <v>161.30000000000001</v>
      </c>
      <c r="K309">
        <v>183.3</v>
      </c>
      <c r="L309">
        <v>164.5</v>
      </c>
      <c r="M309">
        <v>120.4</v>
      </c>
      <c r="N309">
        <v>166.2</v>
      </c>
      <c r="O309">
        <v>154.80000000000001</v>
      </c>
      <c r="P309">
        <v>175.1</v>
      </c>
      <c r="Q309">
        <v>167.3</v>
      </c>
      <c r="R309">
        <v>196.5</v>
      </c>
      <c r="S309">
        <v>159.80000000000001</v>
      </c>
      <c r="T309">
        <v>143.6</v>
      </c>
      <c r="U309">
        <v>157.30000000000001</v>
      </c>
      <c r="V309">
        <v>162.1</v>
      </c>
      <c r="W309">
        <v>160.69999999999999</v>
      </c>
      <c r="X309">
        <v>153.19999999999999</v>
      </c>
      <c r="Y309">
        <v>162.80000000000001</v>
      </c>
      <c r="Z309">
        <v>150.4</v>
      </c>
      <c r="AA309">
        <v>153.69999999999999</v>
      </c>
      <c r="AB309">
        <v>160.4</v>
      </c>
      <c r="AC309">
        <v>159.6</v>
      </c>
      <c r="AD309">
        <v>156</v>
      </c>
      <c r="AE309">
        <v>162.30000000000001</v>
      </c>
      <c r="AF309" t="str">
        <f>IF(AND(CPI_Data[[#This Row],[Date]]&gt;=DATE(2019,3,1),CPI_Data[[#This Row],[Date]]&lt;DATE(2020,3,1)),"Pre-COVID",IF(AND(CPI_Data[[#This Row],[Date]]&gt;=DATE(2020,3,1),CPI_Data[[#This Row],[Date]]&lt;DATE(2021,3,1)),"Post-COVID",""))</f>
        <v/>
      </c>
    </row>
    <row r="310" spans="1:32" x14ac:dyDescent="0.25">
      <c r="A310" t="s">
        <v>34</v>
      </c>
      <c r="B310">
        <v>2021</v>
      </c>
      <c r="C310" s="1" t="s">
        <v>41</v>
      </c>
      <c r="D310" s="2">
        <f>DATE(CPI_Data[[#This Row],[Year]],MATCH(CPI_Data[[#This Row],[Month]],{"January","February","March","April","May","June","July","August","September","October","November","December"},0),1)</f>
        <v>44409</v>
      </c>
      <c r="E310">
        <v>146.6</v>
      </c>
      <c r="F310">
        <v>204</v>
      </c>
      <c r="G310">
        <v>172.8</v>
      </c>
      <c r="H310">
        <v>158.4</v>
      </c>
      <c r="I310">
        <v>188</v>
      </c>
      <c r="J310">
        <v>156.80000000000001</v>
      </c>
      <c r="K310">
        <v>162.19999999999999</v>
      </c>
      <c r="L310">
        <v>164.1</v>
      </c>
      <c r="M310">
        <v>119.7</v>
      </c>
      <c r="N310">
        <v>168.8</v>
      </c>
      <c r="O310">
        <v>162.69999999999999</v>
      </c>
      <c r="P310">
        <v>173.9</v>
      </c>
      <c r="Q310">
        <v>164</v>
      </c>
      <c r="R310">
        <v>192.1</v>
      </c>
      <c r="S310">
        <v>164.5</v>
      </c>
      <c r="T310">
        <v>155.30000000000001</v>
      </c>
      <c r="U310">
        <v>163.19999999999999</v>
      </c>
      <c r="V310">
        <v>162.1</v>
      </c>
      <c r="W310">
        <v>162.6</v>
      </c>
      <c r="X310">
        <v>157.5</v>
      </c>
      <c r="Y310">
        <v>168.4</v>
      </c>
      <c r="Z310">
        <v>154</v>
      </c>
      <c r="AA310">
        <v>157.6</v>
      </c>
      <c r="AB310">
        <v>163.80000000000001</v>
      </c>
      <c r="AC310">
        <v>160</v>
      </c>
      <c r="AD310">
        <v>160</v>
      </c>
      <c r="AE310">
        <v>163.19999999999999</v>
      </c>
      <c r="AF310" t="str">
        <f>IF(AND(CPI_Data[[#This Row],[Date]]&gt;=DATE(2019,3,1),CPI_Data[[#This Row],[Date]]&lt;DATE(2020,3,1)),"Pre-COVID",IF(AND(CPI_Data[[#This Row],[Date]]&gt;=DATE(2020,3,1),CPI_Data[[#This Row],[Date]]&lt;DATE(2021,3,1)),"Post-COVID",""))</f>
        <v/>
      </c>
    </row>
    <row r="311" spans="1:32" x14ac:dyDescent="0.25">
      <c r="A311" t="s">
        <v>30</v>
      </c>
      <c r="B311">
        <v>2021</v>
      </c>
      <c r="C311" s="1" t="s">
        <v>42</v>
      </c>
      <c r="D311" s="2">
        <f>DATE(CPI_Data[[#This Row],[Year]],MATCH(CPI_Data[[#This Row],[Month]],{"January","February","March","April","May","June","July","August","September","October","November","December"},0),1)</f>
        <v>44440</v>
      </c>
      <c r="E311">
        <v>145.4</v>
      </c>
      <c r="F311">
        <v>202.1</v>
      </c>
      <c r="G311">
        <v>172</v>
      </c>
      <c r="H311">
        <v>158</v>
      </c>
      <c r="I311">
        <v>195.5</v>
      </c>
      <c r="J311">
        <v>152.69999999999999</v>
      </c>
      <c r="K311">
        <v>151.4</v>
      </c>
      <c r="L311">
        <v>163.9</v>
      </c>
      <c r="M311">
        <v>119.3</v>
      </c>
      <c r="N311">
        <v>170.1</v>
      </c>
      <c r="O311">
        <v>168.3</v>
      </c>
      <c r="P311">
        <v>172.8</v>
      </c>
      <c r="Q311">
        <v>162.1</v>
      </c>
      <c r="R311">
        <v>190.5</v>
      </c>
      <c r="S311">
        <v>167.7</v>
      </c>
      <c r="T311">
        <v>163.6</v>
      </c>
      <c r="U311">
        <v>167.1</v>
      </c>
      <c r="V311" t="s">
        <v>32</v>
      </c>
      <c r="W311">
        <v>163.69999999999999</v>
      </c>
      <c r="X311">
        <v>161.30000000000001</v>
      </c>
      <c r="Y311">
        <v>171.9</v>
      </c>
      <c r="Z311">
        <v>157.80000000000001</v>
      </c>
      <c r="AA311">
        <v>162.69999999999999</v>
      </c>
      <c r="AB311">
        <v>168.5</v>
      </c>
      <c r="AC311">
        <v>160.19999999999999</v>
      </c>
      <c r="AD311">
        <v>163.80000000000001</v>
      </c>
      <c r="AE311">
        <v>164</v>
      </c>
      <c r="AF311" t="str">
        <f>IF(AND(CPI_Data[[#This Row],[Date]]&gt;=DATE(2019,3,1),CPI_Data[[#This Row],[Date]]&lt;DATE(2020,3,1)),"Pre-COVID",IF(AND(CPI_Data[[#This Row],[Date]]&gt;=DATE(2020,3,1),CPI_Data[[#This Row],[Date]]&lt;DATE(2021,3,1)),"Post-COVID",""))</f>
        <v/>
      </c>
    </row>
    <row r="312" spans="1:32" x14ac:dyDescent="0.25">
      <c r="A312" t="s">
        <v>33</v>
      </c>
      <c r="B312">
        <v>2021</v>
      </c>
      <c r="C312" s="1" t="s">
        <v>42</v>
      </c>
      <c r="D312" s="2">
        <f>DATE(CPI_Data[[#This Row],[Year]],MATCH(CPI_Data[[#This Row],[Month]],{"January","February","March","April","May","June","July","August","September","October","November","December"},0),1)</f>
        <v>44440</v>
      </c>
      <c r="E312">
        <v>149.30000000000001</v>
      </c>
      <c r="F312">
        <v>207.4</v>
      </c>
      <c r="G312">
        <v>174.1</v>
      </c>
      <c r="H312">
        <v>159.1</v>
      </c>
      <c r="I312">
        <v>175</v>
      </c>
      <c r="J312">
        <v>161.19999999999999</v>
      </c>
      <c r="K312">
        <v>183.5</v>
      </c>
      <c r="L312">
        <v>164.5</v>
      </c>
      <c r="M312">
        <v>120.4</v>
      </c>
      <c r="N312">
        <v>166.2</v>
      </c>
      <c r="O312">
        <v>154.80000000000001</v>
      </c>
      <c r="P312">
        <v>175.1</v>
      </c>
      <c r="Q312">
        <v>167.3</v>
      </c>
      <c r="R312">
        <v>196.5</v>
      </c>
      <c r="S312">
        <v>159.80000000000001</v>
      </c>
      <c r="T312">
        <v>143.6</v>
      </c>
      <c r="U312">
        <v>157.4</v>
      </c>
      <c r="V312">
        <v>162.1</v>
      </c>
      <c r="W312">
        <v>160.80000000000001</v>
      </c>
      <c r="X312">
        <v>153.30000000000001</v>
      </c>
      <c r="Y312">
        <v>162.80000000000001</v>
      </c>
      <c r="Z312">
        <v>150.5</v>
      </c>
      <c r="AA312">
        <v>153.9</v>
      </c>
      <c r="AB312">
        <v>160.30000000000001</v>
      </c>
      <c r="AC312">
        <v>159.6</v>
      </c>
      <c r="AD312">
        <v>156</v>
      </c>
      <c r="AE312">
        <v>162.30000000000001</v>
      </c>
      <c r="AF312" t="str">
        <f>IF(AND(CPI_Data[[#This Row],[Date]]&gt;=DATE(2019,3,1),CPI_Data[[#This Row],[Date]]&lt;DATE(2020,3,1)),"Pre-COVID",IF(AND(CPI_Data[[#This Row],[Date]]&gt;=DATE(2020,3,1),CPI_Data[[#This Row],[Date]]&lt;DATE(2021,3,1)),"Post-COVID",""))</f>
        <v/>
      </c>
    </row>
    <row r="313" spans="1:32" x14ac:dyDescent="0.25">
      <c r="A313" t="s">
        <v>34</v>
      </c>
      <c r="B313">
        <v>2021</v>
      </c>
      <c r="C313" s="1" t="s">
        <v>42</v>
      </c>
      <c r="D313" s="2">
        <f>DATE(CPI_Data[[#This Row],[Year]],MATCH(CPI_Data[[#This Row],[Month]],{"January","February","March","April","May","June","July","August","September","October","November","December"},0),1)</f>
        <v>44440</v>
      </c>
      <c r="E313">
        <v>146.6</v>
      </c>
      <c r="F313">
        <v>204</v>
      </c>
      <c r="G313">
        <v>172.8</v>
      </c>
      <c r="H313">
        <v>158.4</v>
      </c>
      <c r="I313">
        <v>188</v>
      </c>
      <c r="J313">
        <v>156.69999999999999</v>
      </c>
      <c r="K313">
        <v>162.30000000000001</v>
      </c>
      <c r="L313">
        <v>164.1</v>
      </c>
      <c r="M313">
        <v>119.7</v>
      </c>
      <c r="N313">
        <v>168.8</v>
      </c>
      <c r="O313">
        <v>162.69999999999999</v>
      </c>
      <c r="P313">
        <v>173.9</v>
      </c>
      <c r="Q313">
        <v>164</v>
      </c>
      <c r="R313">
        <v>192.1</v>
      </c>
      <c r="S313">
        <v>164.6</v>
      </c>
      <c r="T313">
        <v>155.30000000000001</v>
      </c>
      <c r="U313">
        <v>163.30000000000001</v>
      </c>
      <c r="V313">
        <v>162.1</v>
      </c>
      <c r="W313">
        <v>162.6</v>
      </c>
      <c r="X313">
        <v>157.5</v>
      </c>
      <c r="Y313">
        <v>168.4</v>
      </c>
      <c r="Z313">
        <v>154</v>
      </c>
      <c r="AA313">
        <v>157.69999999999999</v>
      </c>
      <c r="AB313">
        <v>163.69999999999999</v>
      </c>
      <c r="AC313">
        <v>160</v>
      </c>
      <c r="AD313">
        <v>160</v>
      </c>
      <c r="AE313">
        <v>163.19999999999999</v>
      </c>
      <c r="AF313" t="str">
        <f>IF(AND(CPI_Data[[#This Row],[Date]]&gt;=DATE(2019,3,1),CPI_Data[[#This Row],[Date]]&lt;DATE(2020,3,1)),"Pre-COVID",IF(AND(CPI_Data[[#This Row],[Date]]&gt;=DATE(2020,3,1),CPI_Data[[#This Row],[Date]]&lt;DATE(2021,3,1)),"Post-COVID",""))</f>
        <v/>
      </c>
    </row>
    <row r="314" spans="1:32" x14ac:dyDescent="0.25">
      <c r="A314" t="s">
        <v>30</v>
      </c>
      <c r="B314">
        <v>2021</v>
      </c>
      <c r="C314" s="1" t="s">
        <v>43</v>
      </c>
      <c r="D314" s="2">
        <f>DATE(CPI_Data[[#This Row],[Year]],MATCH(CPI_Data[[#This Row],[Month]],{"January","February","March","April","May","June","July","August","September","October","November","December"},0),1)</f>
        <v>44470</v>
      </c>
      <c r="E314">
        <v>146.1</v>
      </c>
      <c r="F314">
        <v>202.5</v>
      </c>
      <c r="G314">
        <v>170.1</v>
      </c>
      <c r="H314">
        <v>158.4</v>
      </c>
      <c r="I314">
        <v>198.8</v>
      </c>
      <c r="J314">
        <v>152.6</v>
      </c>
      <c r="K314">
        <v>170.4</v>
      </c>
      <c r="L314">
        <v>165.2</v>
      </c>
      <c r="M314">
        <v>121.6</v>
      </c>
      <c r="N314">
        <v>170.6</v>
      </c>
      <c r="O314">
        <v>168.8</v>
      </c>
      <c r="P314">
        <v>173.6</v>
      </c>
      <c r="Q314">
        <v>165.5</v>
      </c>
      <c r="R314">
        <v>191.2</v>
      </c>
      <c r="S314">
        <v>168.9</v>
      </c>
      <c r="T314">
        <v>164.8</v>
      </c>
      <c r="U314">
        <v>168.3</v>
      </c>
      <c r="V314" t="s">
        <v>32</v>
      </c>
      <c r="W314">
        <v>165.5</v>
      </c>
      <c r="X314">
        <v>162</v>
      </c>
      <c r="Y314">
        <v>172.5</v>
      </c>
      <c r="Z314">
        <v>159.5</v>
      </c>
      <c r="AA314">
        <v>163.19999999999999</v>
      </c>
      <c r="AB314">
        <v>169</v>
      </c>
      <c r="AC314">
        <v>161.1</v>
      </c>
      <c r="AD314">
        <v>164.7</v>
      </c>
      <c r="AE314">
        <v>166.3</v>
      </c>
      <c r="AF314" t="str">
        <f>IF(AND(CPI_Data[[#This Row],[Date]]&gt;=DATE(2019,3,1),CPI_Data[[#This Row],[Date]]&lt;DATE(2020,3,1)),"Pre-COVID",IF(AND(CPI_Data[[#This Row],[Date]]&gt;=DATE(2020,3,1),CPI_Data[[#This Row],[Date]]&lt;DATE(2021,3,1)),"Post-COVID",""))</f>
        <v/>
      </c>
    </row>
    <row r="315" spans="1:32" x14ac:dyDescent="0.25">
      <c r="A315" t="s">
        <v>33</v>
      </c>
      <c r="B315">
        <v>2021</v>
      </c>
      <c r="C315" s="1" t="s">
        <v>43</v>
      </c>
      <c r="D315" s="2">
        <f>DATE(CPI_Data[[#This Row],[Year]],MATCH(CPI_Data[[#This Row],[Month]],{"January","February","March","April","May","June","July","August","September","October","November","December"},0),1)</f>
        <v>44470</v>
      </c>
      <c r="E315">
        <v>150.1</v>
      </c>
      <c r="F315">
        <v>208.4</v>
      </c>
      <c r="G315">
        <v>173</v>
      </c>
      <c r="H315">
        <v>159.19999999999999</v>
      </c>
      <c r="I315">
        <v>176.6</v>
      </c>
      <c r="J315">
        <v>159.30000000000001</v>
      </c>
      <c r="K315">
        <v>214.4</v>
      </c>
      <c r="L315">
        <v>165.3</v>
      </c>
      <c r="M315">
        <v>122.5</v>
      </c>
      <c r="N315">
        <v>166.8</v>
      </c>
      <c r="O315">
        <v>155.4</v>
      </c>
      <c r="P315">
        <v>175.9</v>
      </c>
      <c r="Q315">
        <v>171.5</v>
      </c>
      <c r="R315">
        <v>197</v>
      </c>
      <c r="S315">
        <v>160.80000000000001</v>
      </c>
      <c r="T315">
        <v>144.4</v>
      </c>
      <c r="U315">
        <v>158.30000000000001</v>
      </c>
      <c r="V315">
        <v>163.6</v>
      </c>
      <c r="W315">
        <v>162.19999999999999</v>
      </c>
      <c r="X315">
        <v>154.30000000000001</v>
      </c>
      <c r="Y315">
        <v>163.5</v>
      </c>
      <c r="Z315">
        <v>152.19999999999999</v>
      </c>
      <c r="AA315">
        <v>155.1</v>
      </c>
      <c r="AB315">
        <v>160.30000000000001</v>
      </c>
      <c r="AC315">
        <v>160.30000000000001</v>
      </c>
      <c r="AD315">
        <v>157</v>
      </c>
      <c r="AE315">
        <v>164.6</v>
      </c>
      <c r="AF315" t="str">
        <f>IF(AND(CPI_Data[[#This Row],[Date]]&gt;=DATE(2019,3,1),CPI_Data[[#This Row],[Date]]&lt;DATE(2020,3,1)),"Pre-COVID",IF(AND(CPI_Data[[#This Row],[Date]]&gt;=DATE(2020,3,1),CPI_Data[[#This Row],[Date]]&lt;DATE(2021,3,1)),"Post-COVID",""))</f>
        <v/>
      </c>
    </row>
    <row r="316" spans="1:32" x14ac:dyDescent="0.25">
      <c r="A316" t="s">
        <v>34</v>
      </c>
      <c r="B316">
        <v>2021</v>
      </c>
      <c r="C316" s="1" t="s">
        <v>43</v>
      </c>
      <c r="D316" s="2">
        <f>DATE(CPI_Data[[#This Row],[Year]],MATCH(CPI_Data[[#This Row],[Month]],{"January","February","March","April","May","June","July","August","September","October","November","December"},0),1)</f>
        <v>44470</v>
      </c>
      <c r="E316">
        <v>147.4</v>
      </c>
      <c r="F316">
        <v>204.6</v>
      </c>
      <c r="G316">
        <v>171.2</v>
      </c>
      <c r="H316">
        <v>158.69999999999999</v>
      </c>
      <c r="I316">
        <v>190.6</v>
      </c>
      <c r="J316">
        <v>155.69999999999999</v>
      </c>
      <c r="K316">
        <v>185.3</v>
      </c>
      <c r="L316">
        <v>165.2</v>
      </c>
      <c r="M316">
        <v>121.9</v>
      </c>
      <c r="N316">
        <v>169.3</v>
      </c>
      <c r="O316">
        <v>163.19999999999999</v>
      </c>
      <c r="P316">
        <v>174.7</v>
      </c>
      <c r="Q316">
        <v>167.7</v>
      </c>
      <c r="R316">
        <v>192.7</v>
      </c>
      <c r="S316">
        <v>165.7</v>
      </c>
      <c r="T316">
        <v>156.30000000000001</v>
      </c>
      <c r="U316">
        <v>164.3</v>
      </c>
      <c r="V316">
        <v>163.6</v>
      </c>
      <c r="W316">
        <v>164.2</v>
      </c>
      <c r="X316">
        <v>158.4</v>
      </c>
      <c r="Y316">
        <v>169.1</v>
      </c>
      <c r="Z316">
        <v>155.69999999999999</v>
      </c>
      <c r="AA316">
        <v>158.6</v>
      </c>
      <c r="AB316">
        <v>163.9</v>
      </c>
      <c r="AC316">
        <v>160.80000000000001</v>
      </c>
      <c r="AD316">
        <v>161</v>
      </c>
      <c r="AE316">
        <v>165.5</v>
      </c>
      <c r="AF316" t="str">
        <f>IF(AND(CPI_Data[[#This Row],[Date]]&gt;=DATE(2019,3,1),CPI_Data[[#This Row],[Date]]&lt;DATE(2020,3,1)),"Pre-COVID",IF(AND(CPI_Data[[#This Row],[Date]]&gt;=DATE(2020,3,1),CPI_Data[[#This Row],[Date]]&lt;DATE(2021,3,1)),"Post-COVID",""))</f>
        <v/>
      </c>
    </row>
    <row r="317" spans="1:32" x14ac:dyDescent="0.25">
      <c r="A317" t="s">
        <v>30</v>
      </c>
      <c r="B317">
        <v>2021</v>
      </c>
      <c r="C317" s="1" t="s">
        <v>45</v>
      </c>
      <c r="D317" s="2">
        <f>DATE(CPI_Data[[#This Row],[Year]],MATCH(CPI_Data[[#This Row],[Month]],{"January","February","March","April","May","June","July","August","September","October","November","December"},0),1)</f>
        <v>44501</v>
      </c>
      <c r="E317">
        <v>146.9</v>
      </c>
      <c r="F317">
        <v>199.8</v>
      </c>
      <c r="G317">
        <v>171.5</v>
      </c>
      <c r="H317">
        <v>159.1</v>
      </c>
      <c r="I317">
        <v>198.4</v>
      </c>
      <c r="J317">
        <v>153.19999999999999</v>
      </c>
      <c r="K317">
        <v>183.9</v>
      </c>
      <c r="L317">
        <v>165.4</v>
      </c>
      <c r="M317">
        <v>122.1</v>
      </c>
      <c r="N317">
        <v>170.8</v>
      </c>
      <c r="O317">
        <v>169.1</v>
      </c>
      <c r="P317">
        <v>174.3</v>
      </c>
      <c r="Q317">
        <v>167.5</v>
      </c>
      <c r="R317">
        <v>191.4</v>
      </c>
      <c r="S317">
        <v>170.4</v>
      </c>
      <c r="T317">
        <v>166</v>
      </c>
      <c r="U317">
        <v>169.8</v>
      </c>
      <c r="V317" t="s">
        <v>32</v>
      </c>
      <c r="W317">
        <v>165.3</v>
      </c>
      <c r="X317">
        <v>162.9</v>
      </c>
      <c r="Y317">
        <v>173.4</v>
      </c>
      <c r="Z317">
        <v>158.9</v>
      </c>
      <c r="AA317">
        <v>163.80000000000001</v>
      </c>
      <c r="AB317">
        <v>169.3</v>
      </c>
      <c r="AC317">
        <v>162.4</v>
      </c>
      <c r="AD317">
        <v>165.2</v>
      </c>
      <c r="AE317">
        <v>167.6</v>
      </c>
      <c r="AF317" t="str">
        <f>IF(AND(CPI_Data[[#This Row],[Date]]&gt;=DATE(2019,3,1),CPI_Data[[#This Row],[Date]]&lt;DATE(2020,3,1)),"Pre-COVID",IF(AND(CPI_Data[[#This Row],[Date]]&gt;=DATE(2020,3,1),CPI_Data[[#This Row],[Date]]&lt;DATE(2021,3,1)),"Post-COVID",""))</f>
        <v/>
      </c>
    </row>
    <row r="318" spans="1:32" x14ac:dyDescent="0.25">
      <c r="A318" t="s">
        <v>33</v>
      </c>
      <c r="B318">
        <v>2021</v>
      </c>
      <c r="C318" s="1" t="s">
        <v>45</v>
      </c>
      <c r="D318" s="2">
        <f>DATE(CPI_Data[[#This Row],[Year]],MATCH(CPI_Data[[#This Row],[Month]],{"January","February","March","April","May","June","July","August","September","October","November","December"},0),1)</f>
        <v>44501</v>
      </c>
      <c r="E318">
        <v>151</v>
      </c>
      <c r="F318">
        <v>204.9</v>
      </c>
      <c r="G318">
        <v>175.4</v>
      </c>
      <c r="H318">
        <v>159.6</v>
      </c>
      <c r="I318">
        <v>175.8</v>
      </c>
      <c r="J318">
        <v>160.30000000000001</v>
      </c>
      <c r="K318">
        <v>229.1</v>
      </c>
      <c r="L318">
        <v>165.1</v>
      </c>
      <c r="M318">
        <v>123.1</v>
      </c>
      <c r="N318">
        <v>167.2</v>
      </c>
      <c r="O318">
        <v>156.1</v>
      </c>
      <c r="P318">
        <v>176.8</v>
      </c>
      <c r="Q318">
        <v>173.5</v>
      </c>
      <c r="R318">
        <v>197</v>
      </c>
      <c r="S318">
        <v>162.30000000000001</v>
      </c>
      <c r="T318">
        <v>145.30000000000001</v>
      </c>
      <c r="U318">
        <v>159.69999999999999</v>
      </c>
      <c r="V318">
        <v>164.2</v>
      </c>
      <c r="W318">
        <v>161.6</v>
      </c>
      <c r="X318">
        <v>155.19999999999999</v>
      </c>
      <c r="Y318">
        <v>164.2</v>
      </c>
      <c r="Z318">
        <v>151.19999999999999</v>
      </c>
      <c r="AA318">
        <v>156.69999999999999</v>
      </c>
      <c r="AB318">
        <v>160.80000000000001</v>
      </c>
      <c r="AC318">
        <v>161.80000000000001</v>
      </c>
      <c r="AD318">
        <v>157.30000000000001</v>
      </c>
      <c r="AE318">
        <v>165.6</v>
      </c>
      <c r="AF318" t="str">
        <f>IF(AND(CPI_Data[[#This Row],[Date]]&gt;=DATE(2019,3,1),CPI_Data[[#This Row],[Date]]&lt;DATE(2020,3,1)),"Pre-COVID",IF(AND(CPI_Data[[#This Row],[Date]]&gt;=DATE(2020,3,1),CPI_Data[[#This Row],[Date]]&lt;DATE(2021,3,1)),"Post-COVID",""))</f>
        <v/>
      </c>
    </row>
    <row r="319" spans="1:32" x14ac:dyDescent="0.25">
      <c r="A319" t="s">
        <v>34</v>
      </c>
      <c r="B319">
        <v>2021</v>
      </c>
      <c r="C319" s="1" t="s">
        <v>45</v>
      </c>
      <c r="D319" s="2">
        <f>DATE(CPI_Data[[#This Row],[Year]],MATCH(CPI_Data[[#This Row],[Month]],{"January","February","March","April","May","June","July","August","September","October","November","December"},0),1)</f>
        <v>44501</v>
      </c>
      <c r="E319">
        <v>148.19999999999999</v>
      </c>
      <c r="F319">
        <v>201.6</v>
      </c>
      <c r="G319">
        <v>173</v>
      </c>
      <c r="H319">
        <v>159.30000000000001</v>
      </c>
      <c r="I319">
        <v>190.1</v>
      </c>
      <c r="J319">
        <v>156.5</v>
      </c>
      <c r="K319">
        <v>199.2</v>
      </c>
      <c r="L319">
        <v>165.3</v>
      </c>
      <c r="M319">
        <v>122.4</v>
      </c>
      <c r="N319">
        <v>169.6</v>
      </c>
      <c r="O319">
        <v>163.69999999999999</v>
      </c>
      <c r="P319">
        <v>175.5</v>
      </c>
      <c r="Q319">
        <v>169.7</v>
      </c>
      <c r="R319">
        <v>192.9</v>
      </c>
      <c r="S319">
        <v>167.2</v>
      </c>
      <c r="T319">
        <v>157.4</v>
      </c>
      <c r="U319">
        <v>165.8</v>
      </c>
      <c r="V319">
        <v>164.2</v>
      </c>
      <c r="W319">
        <v>163.9</v>
      </c>
      <c r="X319">
        <v>159.30000000000001</v>
      </c>
      <c r="Y319">
        <v>169.9</v>
      </c>
      <c r="Z319">
        <v>154.80000000000001</v>
      </c>
      <c r="AA319">
        <v>159.80000000000001</v>
      </c>
      <c r="AB319">
        <v>164.3</v>
      </c>
      <c r="AC319">
        <v>162.19999999999999</v>
      </c>
      <c r="AD319">
        <v>161.4</v>
      </c>
      <c r="AE319">
        <v>166.7</v>
      </c>
      <c r="AF319" t="str">
        <f>IF(AND(CPI_Data[[#This Row],[Date]]&gt;=DATE(2019,3,1),CPI_Data[[#This Row],[Date]]&lt;DATE(2020,3,1)),"Pre-COVID",IF(AND(CPI_Data[[#This Row],[Date]]&gt;=DATE(2020,3,1),CPI_Data[[#This Row],[Date]]&lt;DATE(2021,3,1)),"Post-COVID",""))</f>
        <v/>
      </c>
    </row>
    <row r="320" spans="1:32" x14ac:dyDescent="0.25">
      <c r="A320" t="s">
        <v>30</v>
      </c>
      <c r="B320">
        <v>2021</v>
      </c>
      <c r="C320" s="1" t="s">
        <v>46</v>
      </c>
      <c r="D320" s="2">
        <f>DATE(CPI_Data[[#This Row],[Year]],MATCH(CPI_Data[[#This Row],[Month]],{"January","February","March","April","May","June","July","August","September","October","November","December"},0),1)</f>
        <v>44531</v>
      </c>
      <c r="E320">
        <v>147.4</v>
      </c>
      <c r="F320">
        <v>197</v>
      </c>
      <c r="G320">
        <v>176.5</v>
      </c>
      <c r="H320">
        <v>159.80000000000001</v>
      </c>
      <c r="I320">
        <v>195.8</v>
      </c>
      <c r="J320">
        <v>152</v>
      </c>
      <c r="K320">
        <v>172.3</v>
      </c>
      <c r="L320">
        <v>164.5</v>
      </c>
      <c r="M320">
        <v>120.6</v>
      </c>
      <c r="N320">
        <v>171.7</v>
      </c>
      <c r="O320">
        <v>169.7</v>
      </c>
      <c r="P320">
        <v>175.1</v>
      </c>
      <c r="Q320">
        <v>165.8</v>
      </c>
      <c r="R320">
        <v>190.8</v>
      </c>
      <c r="S320">
        <v>171.8</v>
      </c>
      <c r="T320">
        <v>167.3</v>
      </c>
      <c r="U320">
        <v>171.2</v>
      </c>
      <c r="V320" t="s">
        <v>32</v>
      </c>
      <c r="W320">
        <v>165.6</v>
      </c>
      <c r="X320">
        <v>163.9</v>
      </c>
      <c r="Y320">
        <v>174</v>
      </c>
      <c r="Z320">
        <v>160.1</v>
      </c>
      <c r="AA320">
        <v>164.5</v>
      </c>
      <c r="AB320">
        <v>169.7</v>
      </c>
      <c r="AC320">
        <v>162.80000000000001</v>
      </c>
      <c r="AD320">
        <v>166</v>
      </c>
      <c r="AE320">
        <v>167</v>
      </c>
      <c r="AF320" t="str">
        <f>IF(AND(CPI_Data[[#This Row],[Date]]&gt;=DATE(2019,3,1),CPI_Data[[#This Row],[Date]]&lt;DATE(2020,3,1)),"Pre-COVID",IF(AND(CPI_Data[[#This Row],[Date]]&gt;=DATE(2020,3,1),CPI_Data[[#This Row],[Date]]&lt;DATE(2021,3,1)),"Post-COVID",""))</f>
        <v/>
      </c>
    </row>
    <row r="321" spans="1:32" x14ac:dyDescent="0.25">
      <c r="A321" t="s">
        <v>33</v>
      </c>
      <c r="B321">
        <v>2021</v>
      </c>
      <c r="C321" s="1" t="s">
        <v>46</v>
      </c>
      <c r="D321" s="2">
        <f>DATE(CPI_Data[[#This Row],[Year]],MATCH(CPI_Data[[#This Row],[Month]],{"January","February","March","April","May","June","July","August","September","October","November","December"},0),1)</f>
        <v>44531</v>
      </c>
      <c r="E321">
        <v>151.6</v>
      </c>
      <c r="F321">
        <v>202.2</v>
      </c>
      <c r="G321">
        <v>180</v>
      </c>
      <c r="H321">
        <v>160</v>
      </c>
      <c r="I321">
        <v>173.5</v>
      </c>
      <c r="J321">
        <v>158.30000000000001</v>
      </c>
      <c r="K321">
        <v>219.5</v>
      </c>
      <c r="L321">
        <v>164.2</v>
      </c>
      <c r="M321">
        <v>121.9</v>
      </c>
      <c r="N321">
        <v>168.2</v>
      </c>
      <c r="O321">
        <v>156.5</v>
      </c>
      <c r="P321">
        <v>178.2</v>
      </c>
      <c r="Q321">
        <v>172.2</v>
      </c>
      <c r="R321">
        <v>196.8</v>
      </c>
      <c r="S321">
        <v>163.30000000000001</v>
      </c>
      <c r="T321">
        <v>146.69999999999999</v>
      </c>
      <c r="U321">
        <v>160.69999999999999</v>
      </c>
      <c r="V321">
        <v>163.4</v>
      </c>
      <c r="W321">
        <v>161.69999999999999</v>
      </c>
      <c r="X321">
        <v>156</v>
      </c>
      <c r="Y321">
        <v>165.1</v>
      </c>
      <c r="Z321">
        <v>151.80000000000001</v>
      </c>
      <c r="AA321">
        <v>157.6</v>
      </c>
      <c r="AB321">
        <v>160.6</v>
      </c>
      <c r="AC321">
        <v>162.4</v>
      </c>
      <c r="AD321">
        <v>157.80000000000001</v>
      </c>
      <c r="AE321">
        <v>165.2</v>
      </c>
      <c r="AF321" t="str">
        <f>IF(AND(CPI_Data[[#This Row],[Date]]&gt;=DATE(2019,3,1),CPI_Data[[#This Row],[Date]]&lt;DATE(2020,3,1)),"Pre-COVID",IF(AND(CPI_Data[[#This Row],[Date]]&gt;=DATE(2020,3,1),CPI_Data[[#This Row],[Date]]&lt;DATE(2021,3,1)),"Post-COVID",""))</f>
        <v/>
      </c>
    </row>
    <row r="322" spans="1:32" x14ac:dyDescent="0.25">
      <c r="A322" t="s">
        <v>34</v>
      </c>
      <c r="B322">
        <v>2021</v>
      </c>
      <c r="C322" s="1" t="s">
        <v>46</v>
      </c>
      <c r="D322" s="2">
        <f>DATE(CPI_Data[[#This Row],[Year]],MATCH(CPI_Data[[#This Row],[Month]],{"January","February","March","April","May","June","July","August","September","October","November","December"},0),1)</f>
        <v>44531</v>
      </c>
      <c r="E322">
        <v>148.69999999999999</v>
      </c>
      <c r="F322">
        <v>198.8</v>
      </c>
      <c r="G322">
        <v>177.9</v>
      </c>
      <c r="H322">
        <v>159.9</v>
      </c>
      <c r="I322">
        <v>187.6</v>
      </c>
      <c r="J322">
        <v>154.9</v>
      </c>
      <c r="K322">
        <v>188.3</v>
      </c>
      <c r="L322">
        <v>164.4</v>
      </c>
      <c r="M322">
        <v>121</v>
      </c>
      <c r="N322">
        <v>170.5</v>
      </c>
      <c r="O322">
        <v>164.2</v>
      </c>
      <c r="P322">
        <v>176.5</v>
      </c>
      <c r="Q322">
        <v>168.2</v>
      </c>
      <c r="R322">
        <v>192.4</v>
      </c>
      <c r="S322">
        <v>168.5</v>
      </c>
      <c r="T322">
        <v>158.69999999999999</v>
      </c>
      <c r="U322">
        <v>167</v>
      </c>
      <c r="V322">
        <v>163.4</v>
      </c>
      <c r="W322">
        <v>164.1</v>
      </c>
      <c r="X322">
        <v>160.19999999999999</v>
      </c>
      <c r="Y322">
        <v>170.6</v>
      </c>
      <c r="Z322">
        <v>155.69999999999999</v>
      </c>
      <c r="AA322">
        <v>160.6</v>
      </c>
      <c r="AB322">
        <v>164.4</v>
      </c>
      <c r="AC322">
        <v>162.6</v>
      </c>
      <c r="AD322">
        <v>162</v>
      </c>
      <c r="AE322">
        <v>166.2</v>
      </c>
      <c r="AF322" t="str">
        <f>IF(AND(CPI_Data[[#This Row],[Date]]&gt;=DATE(2019,3,1),CPI_Data[[#This Row],[Date]]&lt;DATE(2020,3,1)),"Pre-COVID",IF(AND(CPI_Data[[#This Row],[Date]]&gt;=DATE(2020,3,1),CPI_Data[[#This Row],[Date]]&lt;DATE(2021,3,1)),"Post-COVID",""))</f>
        <v/>
      </c>
    </row>
    <row r="323" spans="1:32" hidden="1" x14ac:dyDescent="0.25">
      <c r="A323" t="s">
        <v>30</v>
      </c>
      <c r="B323">
        <v>2022</v>
      </c>
      <c r="C323" s="1" t="s">
        <v>31</v>
      </c>
      <c r="D323" s="2">
        <f>DATE(CPI_Data[[#This Row],[Year]],MATCH(CPI_Data[[#This Row],[Month]],{"January","February","March","April","May","June","July","August","September","October","November","December"},0),1)</f>
        <v>44562</v>
      </c>
      <c r="E323">
        <v>148.30000000000001</v>
      </c>
      <c r="F323">
        <v>196.9</v>
      </c>
      <c r="G323">
        <v>178</v>
      </c>
      <c r="H323">
        <v>160.5</v>
      </c>
      <c r="I323">
        <v>192.6</v>
      </c>
      <c r="J323">
        <v>151.19999999999999</v>
      </c>
      <c r="K323">
        <v>159.19999999999999</v>
      </c>
      <c r="L323">
        <v>164</v>
      </c>
      <c r="M323">
        <v>119.3</v>
      </c>
      <c r="N323">
        <v>173.3</v>
      </c>
      <c r="O323">
        <v>169.8</v>
      </c>
      <c r="P323">
        <v>175.8</v>
      </c>
      <c r="Q323">
        <v>164.1</v>
      </c>
      <c r="R323">
        <v>190.7</v>
      </c>
      <c r="S323">
        <v>173.2</v>
      </c>
      <c r="T323">
        <v>169.3</v>
      </c>
      <c r="U323">
        <v>172.7</v>
      </c>
      <c r="V323" t="s">
        <v>32</v>
      </c>
      <c r="W323">
        <v>165.8</v>
      </c>
      <c r="X323">
        <v>164.9</v>
      </c>
      <c r="Y323">
        <v>174.7</v>
      </c>
      <c r="Z323">
        <v>160.80000000000001</v>
      </c>
      <c r="AA323">
        <v>164.9</v>
      </c>
      <c r="AB323">
        <v>169.9</v>
      </c>
      <c r="AC323">
        <v>163.19999999999999</v>
      </c>
      <c r="AD323">
        <v>166.6</v>
      </c>
      <c r="AE323">
        <v>166.4</v>
      </c>
      <c r="AF323" t="str">
        <f>IF(AND(CPI_Data[[#This Row],[Date]]&gt;=DATE(2019,3,1),CPI_Data[[#This Row],[Date]]&lt;DATE(2020,3,1)),"Pre-COVID",IF(AND(CPI_Data[[#This Row],[Date]]&gt;=DATE(2020,3,1),CPI_Data[[#This Row],[Date]]&lt;DATE(2021,3,1)),"Post-COVID",""))</f>
        <v/>
      </c>
    </row>
    <row r="324" spans="1:32" hidden="1" x14ac:dyDescent="0.25">
      <c r="A324" t="s">
        <v>33</v>
      </c>
      <c r="B324">
        <v>2022</v>
      </c>
      <c r="C324" s="1" t="s">
        <v>31</v>
      </c>
      <c r="D324" s="2">
        <f>DATE(CPI_Data[[#This Row],[Year]],MATCH(CPI_Data[[#This Row],[Month]],{"January","February","March","April","May","June","July","August","September","October","November","December"},0),1)</f>
        <v>44562</v>
      </c>
      <c r="E324">
        <v>152.19999999999999</v>
      </c>
      <c r="F324">
        <v>202.1</v>
      </c>
      <c r="G324">
        <v>180.1</v>
      </c>
      <c r="H324">
        <v>160.4</v>
      </c>
      <c r="I324">
        <v>171</v>
      </c>
      <c r="J324">
        <v>156.5</v>
      </c>
      <c r="K324">
        <v>203.6</v>
      </c>
      <c r="L324">
        <v>163.80000000000001</v>
      </c>
      <c r="M324">
        <v>121.3</v>
      </c>
      <c r="N324">
        <v>169.8</v>
      </c>
      <c r="O324">
        <v>156.6</v>
      </c>
      <c r="P324">
        <v>179</v>
      </c>
      <c r="Q324">
        <v>170.3</v>
      </c>
      <c r="R324">
        <v>196.4</v>
      </c>
      <c r="S324">
        <v>164.7</v>
      </c>
      <c r="T324">
        <v>148.5</v>
      </c>
      <c r="U324">
        <v>162.19999999999999</v>
      </c>
      <c r="V324">
        <v>164.5</v>
      </c>
      <c r="W324">
        <v>161.6</v>
      </c>
      <c r="X324">
        <v>156.80000000000001</v>
      </c>
      <c r="Y324">
        <v>166.1</v>
      </c>
      <c r="Z324">
        <v>152.69999999999999</v>
      </c>
      <c r="AA324">
        <v>158.4</v>
      </c>
      <c r="AB324">
        <v>161</v>
      </c>
      <c r="AC324">
        <v>162.80000000000001</v>
      </c>
      <c r="AD324">
        <v>158.6</v>
      </c>
      <c r="AE324">
        <v>165</v>
      </c>
      <c r="AF324" t="str">
        <f>IF(AND(CPI_Data[[#This Row],[Date]]&gt;=DATE(2019,3,1),CPI_Data[[#This Row],[Date]]&lt;DATE(2020,3,1)),"Pre-COVID",IF(AND(CPI_Data[[#This Row],[Date]]&gt;=DATE(2020,3,1),CPI_Data[[#This Row],[Date]]&lt;DATE(2021,3,1)),"Post-COVID",""))</f>
        <v/>
      </c>
    </row>
    <row r="325" spans="1:32" hidden="1" x14ac:dyDescent="0.25">
      <c r="A325" t="s">
        <v>34</v>
      </c>
      <c r="B325">
        <v>2022</v>
      </c>
      <c r="C325" s="1" t="s">
        <v>31</v>
      </c>
      <c r="D325" s="2">
        <f>DATE(CPI_Data[[#This Row],[Year]],MATCH(CPI_Data[[#This Row],[Month]],{"January","February","March","April","May","June","July","August","September","October","November","December"},0),1)</f>
        <v>44562</v>
      </c>
      <c r="E325">
        <v>149.5</v>
      </c>
      <c r="F325">
        <v>198.7</v>
      </c>
      <c r="G325">
        <v>178.8</v>
      </c>
      <c r="H325">
        <v>160.5</v>
      </c>
      <c r="I325">
        <v>184.7</v>
      </c>
      <c r="J325">
        <v>153.69999999999999</v>
      </c>
      <c r="K325">
        <v>174.3</v>
      </c>
      <c r="L325">
        <v>163.9</v>
      </c>
      <c r="M325">
        <v>120</v>
      </c>
      <c r="N325">
        <v>172.1</v>
      </c>
      <c r="O325">
        <v>164.3</v>
      </c>
      <c r="P325">
        <v>177.3</v>
      </c>
      <c r="Q325">
        <v>166.4</v>
      </c>
      <c r="R325">
        <v>192.2</v>
      </c>
      <c r="S325">
        <v>169.9</v>
      </c>
      <c r="T325">
        <v>160.69999999999999</v>
      </c>
      <c r="U325">
        <v>168.5</v>
      </c>
      <c r="V325">
        <v>164.5</v>
      </c>
      <c r="W325">
        <v>164.2</v>
      </c>
      <c r="X325">
        <v>161.1</v>
      </c>
      <c r="Y325">
        <v>171.4</v>
      </c>
      <c r="Z325">
        <v>156.5</v>
      </c>
      <c r="AA325">
        <v>161.19999999999999</v>
      </c>
      <c r="AB325">
        <v>164.7</v>
      </c>
      <c r="AC325">
        <v>163</v>
      </c>
      <c r="AD325">
        <v>162.69999999999999</v>
      </c>
      <c r="AE325">
        <v>165.7</v>
      </c>
      <c r="AF325" t="str">
        <f>IF(AND(CPI_Data[[#This Row],[Date]]&gt;=DATE(2019,3,1),CPI_Data[[#This Row],[Date]]&lt;DATE(2020,3,1)),"Pre-COVID",IF(AND(CPI_Data[[#This Row],[Date]]&gt;=DATE(2020,3,1),CPI_Data[[#This Row],[Date]]&lt;DATE(2021,3,1)),"Post-COVID",""))</f>
        <v/>
      </c>
    </row>
    <row r="326" spans="1:32" hidden="1" x14ac:dyDescent="0.25">
      <c r="A326" t="s">
        <v>30</v>
      </c>
      <c r="B326">
        <v>2022</v>
      </c>
      <c r="C326" s="1" t="s">
        <v>35</v>
      </c>
      <c r="D326" s="2">
        <f>DATE(CPI_Data[[#This Row],[Year]],MATCH(CPI_Data[[#This Row],[Month]],{"January","February","March","April","May","June","July","August","September","October","November","December"},0),1)</f>
        <v>44593</v>
      </c>
      <c r="E326">
        <v>148.80000000000001</v>
      </c>
      <c r="F326">
        <v>198.1</v>
      </c>
      <c r="G326">
        <v>175.5</v>
      </c>
      <c r="H326">
        <v>160.69999999999999</v>
      </c>
      <c r="I326">
        <v>192.6</v>
      </c>
      <c r="J326">
        <v>151.4</v>
      </c>
      <c r="K326">
        <v>155.19999999999999</v>
      </c>
      <c r="L326">
        <v>163.9</v>
      </c>
      <c r="M326">
        <v>118.1</v>
      </c>
      <c r="N326">
        <v>175.4</v>
      </c>
      <c r="O326">
        <v>170.5</v>
      </c>
      <c r="P326">
        <v>176.3</v>
      </c>
      <c r="Q326">
        <v>163.9</v>
      </c>
      <c r="R326">
        <v>191.5</v>
      </c>
      <c r="S326">
        <v>174.1</v>
      </c>
      <c r="T326">
        <v>171</v>
      </c>
      <c r="U326">
        <v>173.7</v>
      </c>
      <c r="V326" t="s">
        <v>32</v>
      </c>
      <c r="W326">
        <v>167.4</v>
      </c>
      <c r="X326">
        <v>165.7</v>
      </c>
      <c r="Y326">
        <v>175.3</v>
      </c>
      <c r="Z326">
        <v>161.19999999999999</v>
      </c>
      <c r="AA326">
        <v>165.5</v>
      </c>
      <c r="AB326">
        <v>170.3</v>
      </c>
      <c r="AC326">
        <v>164.5</v>
      </c>
      <c r="AD326">
        <v>167.3</v>
      </c>
      <c r="AE326">
        <v>166.7</v>
      </c>
      <c r="AF326" t="str">
        <f>IF(AND(CPI_Data[[#This Row],[Date]]&gt;=DATE(2019,3,1),CPI_Data[[#This Row],[Date]]&lt;DATE(2020,3,1)),"Pre-COVID",IF(AND(CPI_Data[[#This Row],[Date]]&gt;=DATE(2020,3,1),CPI_Data[[#This Row],[Date]]&lt;DATE(2021,3,1)),"Post-COVID",""))</f>
        <v/>
      </c>
    </row>
    <row r="327" spans="1:32" hidden="1" x14ac:dyDescent="0.25">
      <c r="A327" t="s">
        <v>33</v>
      </c>
      <c r="B327">
        <v>2022</v>
      </c>
      <c r="C327" s="1" t="s">
        <v>35</v>
      </c>
      <c r="D327" s="2">
        <f>DATE(CPI_Data[[#This Row],[Year]],MATCH(CPI_Data[[#This Row],[Month]],{"January","February","March","April","May","June","July","August","September","October","November","December"},0),1)</f>
        <v>44593</v>
      </c>
      <c r="E327">
        <v>152.5</v>
      </c>
      <c r="F327">
        <v>205.2</v>
      </c>
      <c r="G327">
        <v>176.4</v>
      </c>
      <c r="H327">
        <v>160.6</v>
      </c>
      <c r="I327">
        <v>171.5</v>
      </c>
      <c r="J327">
        <v>156.4</v>
      </c>
      <c r="K327">
        <v>198</v>
      </c>
      <c r="L327">
        <v>163.19999999999999</v>
      </c>
      <c r="M327">
        <v>120.6</v>
      </c>
      <c r="N327">
        <v>172.2</v>
      </c>
      <c r="O327">
        <v>156.69999999999999</v>
      </c>
      <c r="P327">
        <v>180</v>
      </c>
      <c r="Q327">
        <v>170.2</v>
      </c>
      <c r="R327">
        <v>196.5</v>
      </c>
      <c r="S327">
        <v>165.7</v>
      </c>
      <c r="T327">
        <v>150.4</v>
      </c>
      <c r="U327">
        <v>163.4</v>
      </c>
      <c r="V327">
        <v>165.5</v>
      </c>
      <c r="W327">
        <v>163</v>
      </c>
      <c r="X327">
        <v>157.4</v>
      </c>
      <c r="Y327">
        <v>167.2</v>
      </c>
      <c r="Z327">
        <v>153.1</v>
      </c>
      <c r="AA327">
        <v>159.5</v>
      </c>
      <c r="AB327">
        <v>162</v>
      </c>
      <c r="AC327">
        <v>164.2</v>
      </c>
      <c r="AD327">
        <v>159.4</v>
      </c>
      <c r="AE327">
        <v>165.5</v>
      </c>
      <c r="AF327" t="str">
        <f>IF(AND(CPI_Data[[#This Row],[Date]]&gt;=DATE(2019,3,1),CPI_Data[[#This Row],[Date]]&lt;DATE(2020,3,1)),"Pre-COVID",IF(AND(CPI_Data[[#This Row],[Date]]&gt;=DATE(2020,3,1),CPI_Data[[#This Row],[Date]]&lt;DATE(2021,3,1)),"Post-COVID",""))</f>
        <v/>
      </c>
    </row>
    <row r="328" spans="1:32" hidden="1" x14ac:dyDescent="0.25">
      <c r="A328" t="s">
        <v>34</v>
      </c>
      <c r="B328">
        <v>2022</v>
      </c>
      <c r="C328" s="1" t="s">
        <v>35</v>
      </c>
      <c r="D328" s="2">
        <f>DATE(CPI_Data[[#This Row],[Year]],MATCH(CPI_Data[[#This Row],[Month]],{"January","February","March","April","May","June","July","August","September","October","November","December"},0),1)</f>
        <v>44593</v>
      </c>
      <c r="E328">
        <v>150</v>
      </c>
      <c r="F328">
        <v>200.6</v>
      </c>
      <c r="G328">
        <v>175.8</v>
      </c>
      <c r="H328">
        <v>160.69999999999999</v>
      </c>
      <c r="I328">
        <v>184.9</v>
      </c>
      <c r="J328">
        <v>153.69999999999999</v>
      </c>
      <c r="K328">
        <v>169.7</v>
      </c>
      <c r="L328">
        <v>163.69999999999999</v>
      </c>
      <c r="M328">
        <v>118.9</v>
      </c>
      <c r="N328">
        <v>174.3</v>
      </c>
      <c r="O328">
        <v>164.7</v>
      </c>
      <c r="P328">
        <v>178</v>
      </c>
      <c r="Q328">
        <v>166.2</v>
      </c>
      <c r="R328">
        <v>192.8</v>
      </c>
      <c r="S328">
        <v>170.8</v>
      </c>
      <c r="T328">
        <v>162.4</v>
      </c>
      <c r="U328">
        <v>169.6</v>
      </c>
      <c r="V328">
        <v>165.5</v>
      </c>
      <c r="W328">
        <v>165.7</v>
      </c>
      <c r="X328">
        <v>161.80000000000001</v>
      </c>
      <c r="Y328">
        <v>172.2</v>
      </c>
      <c r="Z328">
        <v>156.9</v>
      </c>
      <c r="AA328">
        <v>162.1</v>
      </c>
      <c r="AB328">
        <v>165.4</v>
      </c>
      <c r="AC328">
        <v>164.4</v>
      </c>
      <c r="AD328">
        <v>163.5</v>
      </c>
      <c r="AE328">
        <v>166.1</v>
      </c>
      <c r="AF328" t="str">
        <f>IF(AND(CPI_Data[[#This Row],[Date]]&gt;=DATE(2019,3,1),CPI_Data[[#This Row],[Date]]&lt;DATE(2020,3,1)),"Pre-COVID",IF(AND(CPI_Data[[#This Row],[Date]]&gt;=DATE(2020,3,1),CPI_Data[[#This Row],[Date]]&lt;DATE(2021,3,1)),"Post-COVID",""))</f>
        <v/>
      </c>
    </row>
    <row r="329" spans="1:32" hidden="1" x14ac:dyDescent="0.25">
      <c r="A329" t="s">
        <v>30</v>
      </c>
      <c r="B329">
        <v>2022</v>
      </c>
      <c r="C329" s="1" t="s">
        <v>36</v>
      </c>
      <c r="D329" s="2">
        <f>DATE(CPI_Data[[#This Row],[Year]],MATCH(CPI_Data[[#This Row],[Month]],{"January","February","March","April","May","June","July","August","September","October","November","December"},0),1)</f>
        <v>44621</v>
      </c>
      <c r="E329">
        <v>150.19999999999999</v>
      </c>
      <c r="F329">
        <v>208</v>
      </c>
      <c r="G329">
        <v>167.9</v>
      </c>
      <c r="H329">
        <v>162</v>
      </c>
      <c r="I329">
        <v>203.1</v>
      </c>
      <c r="J329">
        <v>155.9</v>
      </c>
      <c r="K329">
        <v>155.80000000000001</v>
      </c>
      <c r="L329">
        <v>164.2</v>
      </c>
      <c r="M329">
        <v>118.1</v>
      </c>
      <c r="N329">
        <v>178.7</v>
      </c>
      <c r="O329">
        <v>171.2</v>
      </c>
      <c r="P329">
        <v>177.4</v>
      </c>
      <c r="Q329">
        <v>166.6</v>
      </c>
      <c r="R329">
        <v>192.3</v>
      </c>
      <c r="S329">
        <v>175.4</v>
      </c>
      <c r="T329">
        <v>173.2</v>
      </c>
      <c r="U329">
        <v>175.1</v>
      </c>
      <c r="V329" t="s">
        <v>32</v>
      </c>
      <c r="W329">
        <v>168.9</v>
      </c>
      <c r="X329">
        <v>166.5</v>
      </c>
      <c r="Y329">
        <v>176</v>
      </c>
      <c r="Z329">
        <v>162</v>
      </c>
      <c r="AA329">
        <v>166.6</v>
      </c>
      <c r="AB329">
        <v>170.6</v>
      </c>
      <c r="AC329">
        <v>167.4</v>
      </c>
      <c r="AD329">
        <v>168.3</v>
      </c>
      <c r="AE329">
        <v>168.7</v>
      </c>
      <c r="AF329" t="str">
        <f>IF(AND(CPI_Data[[#This Row],[Date]]&gt;=DATE(2019,3,1),CPI_Data[[#This Row],[Date]]&lt;DATE(2020,3,1)),"Pre-COVID",IF(AND(CPI_Data[[#This Row],[Date]]&gt;=DATE(2020,3,1),CPI_Data[[#This Row],[Date]]&lt;DATE(2021,3,1)),"Post-COVID",""))</f>
        <v/>
      </c>
    </row>
    <row r="330" spans="1:32" hidden="1" x14ac:dyDescent="0.25">
      <c r="A330" t="s">
        <v>33</v>
      </c>
      <c r="B330">
        <v>2022</v>
      </c>
      <c r="C330" s="1" t="s">
        <v>36</v>
      </c>
      <c r="D330" s="2">
        <f>DATE(CPI_Data[[#This Row],[Year]],MATCH(CPI_Data[[#This Row],[Month]],{"January","February","March","April","May","June","July","August","September","October","November","December"},0),1)</f>
        <v>44621</v>
      </c>
      <c r="E330">
        <v>153.69999999999999</v>
      </c>
      <c r="F330">
        <v>215.8</v>
      </c>
      <c r="G330">
        <v>167.7</v>
      </c>
      <c r="H330">
        <v>162.6</v>
      </c>
      <c r="I330">
        <v>180</v>
      </c>
      <c r="J330">
        <v>159.6</v>
      </c>
      <c r="K330">
        <v>188.4</v>
      </c>
      <c r="L330">
        <v>163.4</v>
      </c>
      <c r="M330">
        <v>120.3</v>
      </c>
      <c r="N330">
        <v>174.7</v>
      </c>
      <c r="O330">
        <v>157.1</v>
      </c>
      <c r="P330">
        <v>181.5</v>
      </c>
      <c r="Q330">
        <v>171.5</v>
      </c>
      <c r="R330">
        <v>197.5</v>
      </c>
      <c r="S330">
        <v>167.1</v>
      </c>
      <c r="T330">
        <v>152.6</v>
      </c>
      <c r="U330">
        <v>164.9</v>
      </c>
      <c r="V330">
        <v>165.3</v>
      </c>
      <c r="W330">
        <v>164.5</v>
      </c>
      <c r="X330">
        <v>158.6</v>
      </c>
      <c r="Y330">
        <v>168.2</v>
      </c>
      <c r="Z330">
        <v>154.19999999999999</v>
      </c>
      <c r="AA330">
        <v>160.80000000000001</v>
      </c>
      <c r="AB330">
        <v>162.69999999999999</v>
      </c>
      <c r="AC330">
        <v>166.8</v>
      </c>
      <c r="AD330">
        <v>160.6</v>
      </c>
      <c r="AE330">
        <v>166.5</v>
      </c>
      <c r="AF330" t="str">
        <f>IF(AND(CPI_Data[[#This Row],[Date]]&gt;=DATE(2019,3,1),CPI_Data[[#This Row],[Date]]&lt;DATE(2020,3,1)),"Pre-COVID",IF(AND(CPI_Data[[#This Row],[Date]]&gt;=DATE(2020,3,1),CPI_Data[[#This Row],[Date]]&lt;DATE(2021,3,1)),"Post-COVID",""))</f>
        <v/>
      </c>
    </row>
    <row r="331" spans="1:32" hidden="1" x14ac:dyDescent="0.25">
      <c r="A331" t="s">
        <v>34</v>
      </c>
      <c r="B331">
        <v>2022</v>
      </c>
      <c r="C331" s="1" t="s">
        <v>36</v>
      </c>
      <c r="D331" s="2">
        <f>DATE(CPI_Data[[#This Row],[Year]],MATCH(CPI_Data[[#This Row],[Month]],{"January","February","March","April","May","June","July","August","September","October","November","December"},0),1)</f>
        <v>44621</v>
      </c>
      <c r="E331">
        <v>151.30000000000001</v>
      </c>
      <c r="F331">
        <v>210.7</v>
      </c>
      <c r="G331">
        <v>167.8</v>
      </c>
      <c r="H331">
        <v>162.19999999999999</v>
      </c>
      <c r="I331">
        <v>194.6</v>
      </c>
      <c r="J331">
        <v>157.6</v>
      </c>
      <c r="K331">
        <v>166.9</v>
      </c>
      <c r="L331">
        <v>163.9</v>
      </c>
      <c r="M331">
        <v>118.8</v>
      </c>
      <c r="N331">
        <v>177.4</v>
      </c>
      <c r="O331">
        <v>165.3</v>
      </c>
      <c r="P331">
        <v>179.3</v>
      </c>
      <c r="Q331">
        <v>168.4</v>
      </c>
      <c r="R331">
        <v>193.7</v>
      </c>
      <c r="S331">
        <v>172.1</v>
      </c>
      <c r="T331">
        <v>164.6</v>
      </c>
      <c r="U331">
        <v>171.1</v>
      </c>
      <c r="V331">
        <v>165.3</v>
      </c>
      <c r="W331">
        <v>167.2</v>
      </c>
      <c r="X331">
        <v>162.80000000000001</v>
      </c>
      <c r="Y331">
        <v>173</v>
      </c>
      <c r="Z331">
        <v>157.9</v>
      </c>
      <c r="AA331">
        <v>163.30000000000001</v>
      </c>
      <c r="AB331">
        <v>166</v>
      </c>
      <c r="AC331">
        <v>167.2</v>
      </c>
      <c r="AD331">
        <v>164.6</v>
      </c>
      <c r="AE331">
        <v>167.7</v>
      </c>
      <c r="AF331" t="str">
        <f>IF(AND(CPI_Data[[#This Row],[Date]]&gt;=DATE(2019,3,1),CPI_Data[[#This Row],[Date]]&lt;DATE(2020,3,1)),"Pre-COVID",IF(AND(CPI_Data[[#This Row],[Date]]&gt;=DATE(2020,3,1),CPI_Data[[#This Row],[Date]]&lt;DATE(2021,3,1)),"Post-COVID",""))</f>
        <v/>
      </c>
    </row>
    <row r="332" spans="1:32" hidden="1" x14ac:dyDescent="0.25">
      <c r="A332" t="s">
        <v>30</v>
      </c>
      <c r="B332">
        <v>2022</v>
      </c>
      <c r="C332" s="1" t="s">
        <v>37</v>
      </c>
      <c r="D332" s="2">
        <f>DATE(CPI_Data[[#This Row],[Year]],MATCH(CPI_Data[[#This Row],[Month]],{"January","February","March","April","May","June","July","August","September","October","November","December"},0),1)</f>
        <v>44652</v>
      </c>
      <c r="E332">
        <v>151.80000000000001</v>
      </c>
      <c r="F332">
        <v>209.7</v>
      </c>
      <c r="G332">
        <v>164.5</v>
      </c>
      <c r="H332">
        <v>163.80000000000001</v>
      </c>
      <c r="I332">
        <v>207.4</v>
      </c>
      <c r="J332">
        <v>169.7</v>
      </c>
      <c r="K332">
        <v>153.6</v>
      </c>
      <c r="L332">
        <v>165.1</v>
      </c>
      <c r="M332">
        <v>118.2</v>
      </c>
      <c r="N332">
        <v>182.9</v>
      </c>
      <c r="O332">
        <v>172.4</v>
      </c>
      <c r="P332">
        <v>178.9</v>
      </c>
      <c r="Q332">
        <v>168.6</v>
      </c>
      <c r="R332">
        <v>192.8</v>
      </c>
      <c r="S332">
        <v>177.5</v>
      </c>
      <c r="T332">
        <v>175.1</v>
      </c>
      <c r="U332">
        <v>177.1</v>
      </c>
      <c r="V332" t="s">
        <v>32</v>
      </c>
      <c r="W332">
        <v>173.3</v>
      </c>
      <c r="X332">
        <v>167.7</v>
      </c>
      <c r="Y332">
        <v>177</v>
      </c>
      <c r="Z332">
        <v>166.2</v>
      </c>
      <c r="AA332">
        <v>167.2</v>
      </c>
      <c r="AB332">
        <v>170.9</v>
      </c>
      <c r="AC332">
        <v>169</v>
      </c>
      <c r="AD332">
        <v>170.2</v>
      </c>
      <c r="AE332">
        <v>170.8</v>
      </c>
      <c r="AF332" t="str">
        <f>IF(AND(CPI_Data[[#This Row],[Date]]&gt;=DATE(2019,3,1),CPI_Data[[#This Row],[Date]]&lt;DATE(2020,3,1)),"Pre-COVID",IF(AND(CPI_Data[[#This Row],[Date]]&gt;=DATE(2020,3,1),CPI_Data[[#This Row],[Date]]&lt;DATE(2021,3,1)),"Post-COVID",""))</f>
        <v/>
      </c>
    </row>
    <row r="333" spans="1:32" hidden="1" x14ac:dyDescent="0.25">
      <c r="A333" t="s">
        <v>33</v>
      </c>
      <c r="B333">
        <v>2022</v>
      </c>
      <c r="C333" s="1" t="s">
        <v>37</v>
      </c>
      <c r="D333" s="2">
        <f>DATE(CPI_Data[[#This Row],[Year]],MATCH(CPI_Data[[#This Row],[Month]],{"January","February","March","April","May","June","July","August","September","October","November","December"},0),1)</f>
        <v>44652</v>
      </c>
      <c r="E333">
        <v>155.4</v>
      </c>
      <c r="F333">
        <v>215.8</v>
      </c>
      <c r="G333">
        <v>164.6</v>
      </c>
      <c r="H333">
        <v>164.2</v>
      </c>
      <c r="I333">
        <v>186</v>
      </c>
      <c r="J333">
        <v>175.9</v>
      </c>
      <c r="K333">
        <v>190.7</v>
      </c>
      <c r="L333">
        <v>164</v>
      </c>
      <c r="M333">
        <v>120.5</v>
      </c>
      <c r="N333">
        <v>178</v>
      </c>
      <c r="O333">
        <v>157.5</v>
      </c>
      <c r="P333">
        <v>183.3</v>
      </c>
      <c r="Q333">
        <v>174.5</v>
      </c>
      <c r="R333">
        <v>197.1</v>
      </c>
      <c r="S333">
        <v>168.4</v>
      </c>
      <c r="T333">
        <v>154.5</v>
      </c>
      <c r="U333">
        <v>166.3</v>
      </c>
      <c r="V333">
        <v>167</v>
      </c>
      <c r="W333">
        <v>170.5</v>
      </c>
      <c r="X333">
        <v>159.80000000000001</v>
      </c>
      <c r="Y333">
        <v>169</v>
      </c>
      <c r="Z333">
        <v>159.30000000000001</v>
      </c>
      <c r="AA333">
        <v>162.19999999999999</v>
      </c>
      <c r="AB333">
        <v>164</v>
      </c>
      <c r="AC333">
        <v>168.4</v>
      </c>
      <c r="AD333">
        <v>163.1</v>
      </c>
      <c r="AE333">
        <v>169.2</v>
      </c>
      <c r="AF333" t="str">
        <f>IF(AND(CPI_Data[[#This Row],[Date]]&gt;=DATE(2019,3,1),CPI_Data[[#This Row],[Date]]&lt;DATE(2020,3,1)),"Pre-COVID",IF(AND(CPI_Data[[#This Row],[Date]]&gt;=DATE(2020,3,1),CPI_Data[[#This Row],[Date]]&lt;DATE(2021,3,1)),"Post-COVID",""))</f>
        <v/>
      </c>
    </row>
    <row r="334" spans="1:32" hidden="1" x14ac:dyDescent="0.25">
      <c r="A334" t="s">
        <v>34</v>
      </c>
      <c r="B334">
        <v>2022</v>
      </c>
      <c r="C334" s="1" t="s">
        <v>37</v>
      </c>
      <c r="D334" s="2">
        <f>DATE(CPI_Data[[#This Row],[Year]],MATCH(CPI_Data[[#This Row],[Month]],{"January","February","March","April","May","June","July","August","September","October","November","December"},0),1)</f>
        <v>44652</v>
      </c>
      <c r="E334">
        <v>152.9</v>
      </c>
      <c r="F334">
        <v>211.8</v>
      </c>
      <c r="G334">
        <v>164.5</v>
      </c>
      <c r="H334">
        <v>163.9</v>
      </c>
      <c r="I334">
        <v>199.5</v>
      </c>
      <c r="J334">
        <v>172.6</v>
      </c>
      <c r="K334">
        <v>166.2</v>
      </c>
      <c r="L334">
        <v>164.7</v>
      </c>
      <c r="M334">
        <v>119</v>
      </c>
      <c r="N334">
        <v>181.3</v>
      </c>
      <c r="O334">
        <v>166.2</v>
      </c>
      <c r="P334">
        <v>180.9</v>
      </c>
      <c r="Q334">
        <v>170.8</v>
      </c>
      <c r="R334">
        <v>193.9</v>
      </c>
      <c r="S334">
        <v>173.9</v>
      </c>
      <c r="T334">
        <v>166.5</v>
      </c>
      <c r="U334">
        <v>172.8</v>
      </c>
      <c r="V334">
        <v>167</v>
      </c>
      <c r="W334">
        <v>172.2</v>
      </c>
      <c r="X334">
        <v>164</v>
      </c>
      <c r="Y334">
        <v>174</v>
      </c>
      <c r="Z334">
        <v>162.6</v>
      </c>
      <c r="AA334">
        <v>164.4</v>
      </c>
      <c r="AB334">
        <v>166.9</v>
      </c>
      <c r="AC334">
        <v>168.8</v>
      </c>
      <c r="AD334">
        <v>166.8</v>
      </c>
      <c r="AE334">
        <v>170.1</v>
      </c>
      <c r="AF334" t="str">
        <f>IF(AND(CPI_Data[[#This Row],[Date]]&gt;=DATE(2019,3,1),CPI_Data[[#This Row],[Date]]&lt;DATE(2020,3,1)),"Pre-COVID",IF(AND(CPI_Data[[#This Row],[Date]]&gt;=DATE(2020,3,1),CPI_Data[[#This Row],[Date]]&lt;DATE(2021,3,1)),"Post-COVID",""))</f>
        <v/>
      </c>
    </row>
    <row r="335" spans="1:32" hidden="1" x14ac:dyDescent="0.25">
      <c r="A335" t="s">
        <v>30</v>
      </c>
      <c r="B335">
        <v>2022</v>
      </c>
      <c r="C335" s="1" t="s">
        <v>38</v>
      </c>
      <c r="D335" s="2">
        <f>DATE(CPI_Data[[#This Row],[Year]],MATCH(CPI_Data[[#This Row],[Month]],{"January","February","March","April","May","June","July","August","September","October","November","December"},0),1)</f>
        <v>44682</v>
      </c>
      <c r="E335">
        <v>152.9</v>
      </c>
      <c r="F335">
        <v>214.7</v>
      </c>
      <c r="G335">
        <v>161.4</v>
      </c>
      <c r="H335">
        <v>164.6</v>
      </c>
      <c r="I335">
        <v>209.9</v>
      </c>
      <c r="J335">
        <v>168</v>
      </c>
      <c r="K335">
        <v>160.4</v>
      </c>
      <c r="L335">
        <v>165</v>
      </c>
      <c r="M335">
        <v>118.9</v>
      </c>
      <c r="N335">
        <v>186.6</v>
      </c>
      <c r="O335">
        <v>173.2</v>
      </c>
      <c r="P335">
        <v>180.4</v>
      </c>
      <c r="Q335">
        <v>170.8</v>
      </c>
      <c r="R335">
        <v>192.9</v>
      </c>
      <c r="S335">
        <v>179.3</v>
      </c>
      <c r="T335">
        <v>177.2</v>
      </c>
      <c r="U335">
        <v>179</v>
      </c>
      <c r="V335" t="s">
        <v>32</v>
      </c>
      <c r="W335">
        <v>175.3</v>
      </c>
      <c r="X335">
        <v>168.9</v>
      </c>
      <c r="Y335">
        <v>177.7</v>
      </c>
      <c r="Z335">
        <v>167.1</v>
      </c>
      <c r="AA335">
        <v>167.6</v>
      </c>
      <c r="AB335">
        <v>171.8</v>
      </c>
      <c r="AC335">
        <v>168.5</v>
      </c>
      <c r="AD335">
        <v>170.9</v>
      </c>
      <c r="AE335">
        <v>172.5</v>
      </c>
      <c r="AF335" t="str">
        <f>IF(AND(CPI_Data[[#This Row],[Date]]&gt;=DATE(2019,3,1),CPI_Data[[#This Row],[Date]]&lt;DATE(2020,3,1)),"Pre-COVID",IF(AND(CPI_Data[[#This Row],[Date]]&gt;=DATE(2020,3,1),CPI_Data[[#This Row],[Date]]&lt;DATE(2021,3,1)),"Post-COVID",""))</f>
        <v/>
      </c>
    </row>
    <row r="336" spans="1:32" hidden="1" x14ac:dyDescent="0.25">
      <c r="A336" t="s">
        <v>33</v>
      </c>
      <c r="B336">
        <v>2022</v>
      </c>
      <c r="C336" s="1" t="s">
        <v>38</v>
      </c>
      <c r="D336" s="2">
        <f>DATE(CPI_Data[[#This Row],[Year]],MATCH(CPI_Data[[#This Row],[Month]],{"January","February","March","April","May","June","July","August","September","October","November","December"},0),1)</f>
        <v>44682</v>
      </c>
      <c r="E336">
        <v>156.69999999999999</v>
      </c>
      <c r="F336">
        <v>221.2</v>
      </c>
      <c r="G336">
        <v>164.1</v>
      </c>
      <c r="H336">
        <v>165.4</v>
      </c>
      <c r="I336">
        <v>189.5</v>
      </c>
      <c r="J336">
        <v>174.5</v>
      </c>
      <c r="K336">
        <v>203.2</v>
      </c>
      <c r="L336">
        <v>164.1</v>
      </c>
      <c r="M336">
        <v>121.2</v>
      </c>
      <c r="N336">
        <v>181.4</v>
      </c>
      <c r="O336">
        <v>158.5</v>
      </c>
      <c r="P336">
        <v>184.9</v>
      </c>
      <c r="Q336">
        <v>177.5</v>
      </c>
      <c r="R336">
        <v>197.5</v>
      </c>
      <c r="S336">
        <v>170</v>
      </c>
      <c r="T336">
        <v>155.9</v>
      </c>
      <c r="U336">
        <v>167.8</v>
      </c>
      <c r="V336">
        <v>167.5</v>
      </c>
      <c r="W336">
        <v>173.5</v>
      </c>
      <c r="X336">
        <v>161.1</v>
      </c>
      <c r="Y336">
        <v>170.1</v>
      </c>
      <c r="Z336">
        <v>159.4</v>
      </c>
      <c r="AA336">
        <v>163.19999999999999</v>
      </c>
      <c r="AB336">
        <v>165.2</v>
      </c>
      <c r="AC336">
        <v>168.2</v>
      </c>
      <c r="AD336">
        <v>163.80000000000001</v>
      </c>
      <c r="AE336">
        <v>170.8</v>
      </c>
      <c r="AF336" t="str">
        <f>IF(AND(CPI_Data[[#This Row],[Date]]&gt;=DATE(2019,3,1),CPI_Data[[#This Row],[Date]]&lt;DATE(2020,3,1)),"Pre-COVID",IF(AND(CPI_Data[[#This Row],[Date]]&gt;=DATE(2020,3,1),CPI_Data[[#This Row],[Date]]&lt;DATE(2021,3,1)),"Post-COVID",""))</f>
        <v/>
      </c>
    </row>
    <row r="337" spans="1:32" hidden="1" x14ac:dyDescent="0.25">
      <c r="A337" t="s">
        <v>34</v>
      </c>
      <c r="B337">
        <v>2022</v>
      </c>
      <c r="C337" s="1" t="s">
        <v>38</v>
      </c>
      <c r="D337" s="2">
        <f>DATE(CPI_Data[[#This Row],[Year]],MATCH(CPI_Data[[#This Row],[Month]],{"January","February","March","April","May","June","July","August","September","October","November","December"},0),1)</f>
        <v>44682</v>
      </c>
      <c r="E337">
        <v>154.1</v>
      </c>
      <c r="F337">
        <v>217</v>
      </c>
      <c r="G337">
        <v>162.4</v>
      </c>
      <c r="H337">
        <v>164.9</v>
      </c>
      <c r="I337">
        <v>202.4</v>
      </c>
      <c r="J337">
        <v>171</v>
      </c>
      <c r="K337">
        <v>174.9</v>
      </c>
      <c r="L337">
        <v>164.7</v>
      </c>
      <c r="M337">
        <v>119.7</v>
      </c>
      <c r="N337">
        <v>184.9</v>
      </c>
      <c r="O337">
        <v>167.1</v>
      </c>
      <c r="P337">
        <v>182.5</v>
      </c>
      <c r="Q337">
        <v>173.3</v>
      </c>
      <c r="R337">
        <v>194.1</v>
      </c>
      <c r="S337">
        <v>175.6</v>
      </c>
      <c r="T337">
        <v>168.4</v>
      </c>
      <c r="U337">
        <v>174.6</v>
      </c>
      <c r="V337">
        <v>167.5</v>
      </c>
      <c r="W337">
        <v>174.6</v>
      </c>
      <c r="X337">
        <v>165.2</v>
      </c>
      <c r="Y337">
        <v>174.8</v>
      </c>
      <c r="Z337">
        <v>163</v>
      </c>
      <c r="AA337">
        <v>165.1</v>
      </c>
      <c r="AB337">
        <v>167.9</v>
      </c>
      <c r="AC337">
        <v>168.4</v>
      </c>
      <c r="AD337">
        <v>167.5</v>
      </c>
      <c r="AE337">
        <v>171.7</v>
      </c>
      <c r="AF337" t="str">
        <f>IF(AND(CPI_Data[[#This Row],[Date]]&gt;=DATE(2019,3,1),CPI_Data[[#This Row],[Date]]&lt;DATE(2020,3,1)),"Pre-COVID",IF(AND(CPI_Data[[#This Row],[Date]]&gt;=DATE(2020,3,1),CPI_Data[[#This Row],[Date]]&lt;DATE(2021,3,1)),"Post-COVID",""))</f>
        <v/>
      </c>
    </row>
    <row r="338" spans="1:32" hidden="1" x14ac:dyDescent="0.25">
      <c r="A338" t="s">
        <v>30</v>
      </c>
      <c r="B338">
        <v>2022</v>
      </c>
      <c r="C338" s="1" t="s">
        <v>39</v>
      </c>
      <c r="D338" s="2">
        <f>DATE(CPI_Data[[#This Row],[Year]],MATCH(CPI_Data[[#This Row],[Month]],{"January","February","March","April","May","June","July","August","September","October","November","December"},0),1)</f>
        <v>44713</v>
      </c>
      <c r="E338">
        <v>153.80000000000001</v>
      </c>
      <c r="F338">
        <v>217.2</v>
      </c>
      <c r="G338">
        <v>169.6</v>
      </c>
      <c r="H338">
        <v>165.4</v>
      </c>
      <c r="I338">
        <v>208.1</v>
      </c>
      <c r="J338">
        <v>165.8</v>
      </c>
      <c r="K338">
        <v>167.3</v>
      </c>
      <c r="L338">
        <v>164.6</v>
      </c>
      <c r="M338">
        <v>119.1</v>
      </c>
      <c r="N338">
        <v>188.9</v>
      </c>
      <c r="O338">
        <v>174.2</v>
      </c>
      <c r="P338">
        <v>181.9</v>
      </c>
      <c r="Q338">
        <v>172.4</v>
      </c>
      <c r="R338">
        <v>192.9</v>
      </c>
      <c r="S338">
        <v>180.7</v>
      </c>
      <c r="T338">
        <v>178.7</v>
      </c>
      <c r="U338">
        <v>180.4</v>
      </c>
      <c r="V338" t="s">
        <v>32</v>
      </c>
      <c r="W338">
        <v>176.7</v>
      </c>
      <c r="X338">
        <v>170.3</v>
      </c>
      <c r="Y338">
        <v>178.2</v>
      </c>
      <c r="Z338">
        <v>165.5</v>
      </c>
      <c r="AA338">
        <v>168</v>
      </c>
      <c r="AB338">
        <v>172.6</v>
      </c>
      <c r="AC338">
        <v>169.5</v>
      </c>
      <c r="AD338">
        <v>171</v>
      </c>
      <c r="AE338">
        <v>173.6</v>
      </c>
      <c r="AF338" t="str">
        <f>IF(AND(CPI_Data[[#This Row],[Date]]&gt;=DATE(2019,3,1),CPI_Data[[#This Row],[Date]]&lt;DATE(2020,3,1)),"Pre-COVID",IF(AND(CPI_Data[[#This Row],[Date]]&gt;=DATE(2020,3,1),CPI_Data[[#This Row],[Date]]&lt;DATE(2021,3,1)),"Post-COVID",""))</f>
        <v/>
      </c>
    </row>
    <row r="339" spans="1:32" hidden="1" x14ac:dyDescent="0.25">
      <c r="A339" t="s">
        <v>33</v>
      </c>
      <c r="B339">
        <v>2022</v>
      </c>
      <c r="C339" s="1" t="s">
        <v>39</v>
      </c>
      <c r="D339" s="2">
        <f>DATE(CPI_Data[[#This Row],[Year]],MATCH(CPI_Data[[#This Row],[Month]],{"January","February","March","April","May","June","July","August","September","October","November","December"},0),1)</f>
        <v>44713</v>
      </c>
      <c r="E339">
        <v>157.5</v>
      </c>
      <c r="F339">
        <v>223.4</v>
      </c>
      <c r="G339">
        <v>172.8</v>
      </c>
      <c r="H339">
        <v>166.4</v>
      </c>
      <c r="I339">
        <v>188.6</v>
      </c>
      <c r="J339">
        <v>174.1</v>
      </c>
      <c r="K339">
        <v>211.5</v>
      </c>
      <c r="L339">
        <v>163.6</v>
      </c>
      <c r="M339">
        <v>121.4</v>
      </c>
      <c r="N339">
        <v>183.5</v>
      </c>
      <c r="O339">
        <v>159.1</v>
      </c>
      <c r="P339">
        <v>186.3</v>
      </c>
      <c r="Q339">
        <v>179.3</v>
      </c>
      <c r="R339">
        <v>198.3</v>
      </c>
      <c r="S339">
        <v>171.6</v>
      </c>
      <c r="T339">
        <v>157.4</v>
      </c>
      <c r="U339">
        <v>169.4</v>
      </c>
      <c r="V339">
        <v>166.8</v>
      </c>
      <c r="W339">
        <v>174.9</v>
      </c>
      <c r="X339">
        <v>162.1</v>
      </c>
      <c r="Y339">
        <v>170.9</v>
      </c>
      <c r="Z339">
        <v>157.19999999999999</v>
      </c>
      <c r="AA339">
        <v>164.1</v>
      </c>
      <c r="AB339">
        <v>166.5</v>
      </c>
      <c r="AC339">
        <v>169.2</v>
      </c>
      <c r="AD339">
        <v>163.80000000000001</v>
      </c>
      <c r="AE339">
        <v>171.4</v>
      </c>
      <c r="AF339" t="str">
        <f>IF(AND(CPI_Data[[#This Row],[Date]]&gt;=DATE(2019,3,1),CPI_Data[[#This Row],[Date]]&lt;DATE(2020,3,1)),"Pre-COVID",IF(AND(CPI_Data[[#This Row],[Date]]&gt;=DATE(2020,3,1),CPI_Data[[#This Row],[Date]]&lt;DATE(2021,3,1)),"Post-COVID",""))</f>
        <v/>
      </c>
    </row>
    <row r="340" spans="1:32" hidden="1" x14ac:dyDescent="0.25">
      <c r="A340" t="s">
        <v>34</v>
      </c>
      <c r="B340">
        <v>2022</v>
      </c>
      <c r="C340" s="1" t="s">
        <v>39</v>
      </c>
      <c r="D340" s="2">
        <f>DATE(CPI_Data[[#This Row],[Year]],MATCH(CPI_Data[[#This Row],[Month]],{"January","February","March","April","May","June","July","August","September","October","November","December"},0),1)</f>
        <v>44713</v>
      </c>
      <c r="E340">
        <v>155</v>
      </c>
      <c r="F340">
        <v>219.4</v>
      </c>
      <c r="G340">
        <v>170.8</v>
      </c>
      <c r="H340">
        <v>165.8</v>
      </c>
      <c r="I340">
        <v>200.9</v>
      </c>
      <c r="J340">
        <v>169.7</v>
      </c>
      <c r="K340">
        <v>182.3</v>
      </c>
      <c r="L340">
        <v>164.3</v>
      </c>
      <c r="M340">
        <v>119.9</v>
      </c>
      <c r="N340">
        <v>187.1</v>
      </c>
      <c r="O340">
        <v>167.9</v>
      </c>
      <c r="P340">
        <v>183.9</v>
      </c>
      <c r="Q340">
        <v>174.9</v>
      </c>
      <c r="R340">
        <v>194.3</v>
      </c>
      <c r="S340">
        <v>177.1</v>
      </c>
      <c r="T340">
        <v>169.9</v>
      </c>
      <c r="U340">
        <v>176</v>
      </c>
      <c r="V340">
        <v>166.8</v>
      </c>
      <c r="W340">
        <v>176</v>
      </c>
      <c r="X340">
        <v>166.4</v>
      </c>
      <c r="Y340">
        <v>175.4</v>
      </c>
      <c r="Z340">
        <v>161.1</v>
      </c>
      <c r="AA340">
        <v>165.8</v>
      </c>
      <c r="AB340">
        <v>169</v>
      </c>
      <c r="AC340">
        <v>169.4</v>
      </c>
      <c r="AD340">
        <v>167.5</v>
      </c>
      <c r="AE340">
        <v>172.6</v>
      </c>
      <c r="AF340" t="str">
        <f>IF(AND(CPI_Data[[#This Row],[Date]]&gt;=DATE(2019,3,1),CPI_Data[[#This Row],[Date]]&lt;DATE(2020,3,1)),"Pre-COVID",IF(AND(CPI_Data[[#This Row],[Date]]&gt;=DATE(2020,3,1),CPI_Data[[#This Row],[Date]]&lt;DATE(2021,3,1)),"Post-COVID",""))</f>
        <v/>
      </c>
    </row>
    <row r="341" spans="1:32" hidden="1" x14ac:dyDescent="0.25">
      <c r="A341" t="s">
        <v>30</v>
      </c>
      <c r="B341">
        <v>2022</v>
      </c>
      <c r="C341" s="1" t="s">
        <v>40</v>
      </c>
      <c r="D341" s="2">
        <f>DATE(CPI_Data[[#This Row],[Year]],MATCH(CPI_Data[[#This Row],[Month]],{"January","February","March","April","May","June","July","August","September","October","November","December"},0),1)</f>
        <v>44743</v>
      </c>
      <c r="E341">
        <v>155.19999999999999</v>
      </c>
      <c r="F341">
        <v>210.8</v>
      </c>
      <c r="G341">
        <v>174.3</v>
      </c>
      <c r="H341">
        <v>166.3</v>
      </c>
      <c r="I341">
        <v>202.2</v>
      </c>
      <c r="J341">
        <v>169.6</v>
      </c>
      <c r="K341">
        <v>168.6</v>
      </c>
      <c r="L341">
        <v>164.4</v>
      </c>
      <c r="M341">
        <v>119.2</v>
      </c>
      <c r="N341">
        <v>191.8</v>
      </c>
      <c r="O341">
        <v>174.5</v>
      </c>
      <c r="P341">
        <v>183.1</v>
      </c>
      <c r="Q341">
        <v>172.5</v>
      </c>
      <c r="R341">
        <v>193.2</v>
      </c>
      <c r="S341">
        <v>182</v>
      </c>
      <c r="T341">
        <v>180.3</v>
      </c>
      <c r="U341">
        <v>181.7</v>
      </c>
      <c r="V341" t="s">
        <v>32</v>
      </c>
      <c r="W341">
        <v>179.6</v>
      </c>
      <c r="X341">
        <v>171.3</v>
      </c>
      <c r="Y341">
        <v>178.8</v>
      </c>
      <c r="Z341">
        <v>166.3</v>
      </c>
      <c r="AA341">
        <v>168.6</v>
      </c>
      <c r="AB341">
        <v>174.7</v>
      </c>
      <c r="AC341">
        <v>169.7</v>
      </c>
      <c r="AD341">
        <v>171.8</v>
      </c>
      <c r="AE341">
        <v>174.3</v>
      </c>
      <c r="AF341" t="str">
        <f>IF(AND(CPI_Data[[#This Row],[Date]]&gt;=DATE(2019,3,1),CPI_Data[[#This Row],[Date]]&lt;DATE(2020,3,1)),"Pre-COVID",IF(AND(CPI_Data[[#This Row],[Date]]&gt;=DATE(2020,3,1),CPI_Data[[#This Row],[Date]]&lt;DATE(2021,3,1)),"Post-COVID",""))</f>
        <v/>
      </c>
    </row>
    <row r="342" spans="1:32" hidden="1" x14ac:dyDescent="0.25">
      <c r="A342" t="s">
        <v>33</v>
      </c>
      <c r="B342">
        <v>2022</v>
      </c>
      <c r="C342" s="1" t="s">
        <v>40</v>
      </c>
      <c r="D342" s="2">
        <f>DATE(CPI_Data[[#This Row],[Year]],MATCH(CPI_Data[[#This Row],[Month]],{"January","February","March","April","May","June","July","August","September","October","November","December"},0),1)</f>
        <v>44743</v>
      </c>
      <c r="E342">
        <v>159.30000000000001</v>
      </c>
      <c r="F342">
        <v>217.1</v>
      </c>
      <c r="G342">
        <v>176.6</v>
      </c>
      <c r="H342">
        <v>167.1</v>
      </c>
      <c r="I342">
        <v>184.8</v>
      </c>
      <c r="J342">
        <v>179.5</v>
      </c>
      <c r="K342">
        <v>208.5</v>
      </c>
      <c r="L342">
        <v>164</v>
      </c>
      <c r="M342">
        <v>121.5</v>
      </c>
      <c r="N342">
        <v>186.3</v>
      </c>
      <c r="O342">
        <v>159.80000000000001</v>
      </c>
      <c r="P342">
        <v>187.7</v>
      </c>
      <c r="Q342">
        <v>179.4</v>
      </c>
      <c r="R342">
        <v>198.6</v>
      </c>
      <c r="S342">
        <v>172.7</v>
      </c>
      <c r="T342">
        <v>158.69999999999999</v>
      </c>
      <c r="U342">
        <v>170.6</v>
      </c>
      <c r="V342">
        <v>167.8</v>
      </c>
      <c r="W342">
        <v>179.5</v>
      </c>
      <c r="X342">
        <v>163.1</v>
      </c>
      <c r="Y342">
        <v>171.7</v>
      </c>
      <c r="Z342">
        <v>157.4</v>
      </c>
      <c r="AA342">
        <v>164.6</v>
      </c>
      <c r="AB342">
        <v>169.1</v>
      </c>
      <c r="AC342">
        <v>169.8</v>
      </c>
      <c r="AD342">
        <v>164.7</v>
      </c>
      <c r="AE342">
        <v>172.3</v>
      </c>
      <c r="AF342" t="str">
        <f>IF(AND(CPI_Data[[#This Row],[Date]]&gt;=DATE(2019,3,1),CPI_Data[[#This Row],[Date]]&lt;DATE(2020,3,1)),"Pre-COVID",IF(AND(CPI_Data[[#This Row],[Date]]&gt;=DATE(2020,3,1),CPI_Data[[#This Row],[Date]]&lt;DATE(2021,3,1)),"Post-COVID",""))</f>
        <v/>
      </c>
    </row>
    <row r="343" spans="1:32" hidden="1" x14ac:dyDescent="0.25">
      <c r="A343" t="s">
        <v>34</v>
      </c>
      <c r="B343">
        <v>2022</v>
      </c>
      <c r="C343" s="1" t="s">
        <v>40</v>
      </c>
      <c r="D343" s="2">
        <f>DATE(CPI_Data[[#This Row],[Year]],MATCH(CPI_Data[[#This Row],[Month]],{"January","February","March","April","May","June","July","August","September","October","November","December"},0),1)</f>
        <v>44743</v>
      </c>
      <c r="E343">
        <v>156.5</v>
      </c>
      <c r="F343">
        <v>213</v>
      </c>
      <c r="G343">
        <v>175.2</v>
      </c>
      <c r="H343">
        <v>166.6</v>
      </c>
      <c r="I343">
        <v>195.8</v>
      </c>
      <c r="J343">
        <v>174.2</v>
      </c>
      <c r="K343">
        <v>182.1</v>
      </c>
      <c r="L343">
        <v>164.3</v>
      </c>
      <c r="M343">
        <v>120</v>
      </c>
      <c r="N343">
        <v>190</v>
      </c>
      <c r="O343">
        <v>168.4</v>
      </c>
      <c r="P343">
        <v>185.2</v>
      </c>
      <c r="Q343">
        <v>175</v>
      </c>
      <c r="R343">
        <v>194.6</v>
      </c>
      <c r="S343">
        <v>178.3</v>
      </c>
      <c r="T343">
        <v>171.3</v>
      </c>
      <c r="U343">
        <v>177.3</v>
      </c>
      <c r="V343">
        <v>167.8</v>
      </c>
      <c r="W343">
        <v>179.6</v>
      </c>
      <c r="X343">
        <v>167.4</v>
      </c>
      <c r="Y343">
        <v>176.1</v>
      </c>
      <c r="Z343">
        <v>161.6</v>
      </c>
      <c r="AA343">
        <v>166.3</v>
      </c>
      <c r="AB343">
        <v>171.4</v>
      </c>
      <c r="AC343">
        <v>169.7</v>
      </c>
      <c r="AD343">
        <v>168.4</v>
      </c>
      <c r="AE343">
        <v>173.4</v>
      </c>
      <c r="AF343" t="str">
        <f>IF(AND(CPI_Data[[#This Row],[Date]]&gt;=DATE(2019,3,1),CPI_Data[[#This Row],[Date]]&lt;DATE(2020,3,1)),"Pre-COVID",IF(AND(CPI_Data[[#This Row],[Date]]&gt;=DATE(2020,3,1),CPI_Data[[#This Row],[Date]]&lt;DATE(2021,3,1)),"Post-COVID",""))</f>
        <v/>
      </c>
    </row>
    <row r="344" spans="1:32" hidden="1" x14ac:dyDescent="0.25">
      <c r="A344" t="s">
        <v>30</v>
      </c>
      <c r="B344">
        <v>2022</v>
      </c>
      <c r="C344" s="1" t="s">
        <v>41</v>
      </c>
      <c r="D344" s="2">
        <f>DATE(CPI_Data[[#This Row],[Year]],MATCH(CPI_Data[[#This Row],[Month]],{"January","February","March","April","May","June","July","August","September","October","November","December"},0),1)</f>
        <v>44774</v>
      </c>
      <c r="E344">
        <v>159.5</v>
      </c>
      <c r="F344">
        <v>204.1</v>
      </c>
      <c r="G344">
        <v>168.3</v>
      </c>
      <c r="H344">
        <v>167.9</v>
      </c>
      <c r="I344">
        <v>198.1</v>
      </c>
      <c r="J344">
        <v>169.2</v>
      </c>
      <c r="K344">
        <v>173.1</v>
      </c>
      <c r="L344">
        <v>167.1</v>
      </c>
      <c r="M344">
        <v>120.2</v>
      </c>
      <c r="N344">
        <v>195.6</v>
      </c>
      <c r="O344">
        <v>174.8</v>
      </c>
      <c r="P344">
        <v>184</v>
      </c>
      <c r="Q344">
        <v>173.9</v>
      </c>
      <c r="R344">
        <v>193.7</v>
      </c>
      <c r="S344">
        <v>183.2</v>
      </c>
      <c r="T344">
        <v>181.7</v>
      </c>
      <c r="U344">
        <v>183</v>
      </c>
      <c r="V344" t="s">
        <v>32</v>
      </c>
      <c r="W344">
        <v>179.1</v>
      </c>
      <c r="X344">
        <v>172.3</v>
      </c>
      <c r="Y344">
        <v>179.4</v>
      </c>
      <c r="Z344">
        <v>166.6</v>
      </c>
      <c r="AA344">
        <v>169.3</v>
      </c>
      <c r="AB344">
        <v>175.7</v>
      </c>
      <c r="AC344">
        <v>171.1</v>
      </c>
      <c r="AD344">
        <v>172.6</v>
      </c>
      <c r="AE344">
        <v>175.3</v>
      </c>
      <c r="AF344" t="str">
        <f>IF(AND(CPI_Data[[#This Row],[Date]]&gt;=DATE(2019,3,1),CPI_Data[[#This Row],[Date]]&lt;DATE(2020,3,1)),"Pre-COVID",IF(AND(CPI_Data[[#This Row],[Date]]&gt;=DATE(2020,3,1),CPI_Data[[#This Row],[Date]]&lt;DATE(2021,3,1)),"Post-COVID",""))</f>
        <v/>
      </c>
    </row>
    <row r="345" spans="1:32" hidden="1" x14ac:dyDescent="0.25">
      <c r="A345" t="s">
        <v>33</v>
      </c>
      <c r="B345">
        <v>2022</v>
      </c>
      <c r="C345" s="1" t="s">
        <v>41</v>
      </c>
      <c r="D345" s="2">
        <f>DATE(CPI_Data[[#This Row],[Year]],MATCH(CPI_Data[[#This Row],[Month]],{"January","February","March","April","May","June","July","August","September","October","November","December"},0),1)</f>
        <v>44774</v>
      </c>
      <c r="E345">
        <v>162.1</v>
      </c>
      <c r="F345">
        <v>210.9</v>
      </c>
      <c r="G345">
        <v>170.6</v>
      </c>
      <c r="H345">
        <v>168.4</v>
      </c>
      <c r="I345">
        <v>182.5</v>
      </c>
      <c r="J345">
        <v>177.1</v>
      </c>
      <c r="K345">
        <v>213.1</v>
      </c>
      <c r="L345">
        <v>167.3</v>
      </c>
      <c r="M345">
        <v>122.2</v>
      </c>
      <c r="N345">
        <v>189.7</v>
      </c>
      <c r="O345">
        <v>160.5</v>
      </c>
      <c r="P345">
        <v>188.9</v>
      </c>
      <c r="Q345">
        <v>180.4</v>
      </c>
      <c r="R345">
        <v>198.7</v>
      </c>
      <c r="S345">
        <v>173.7</v>
      </c>
      <c r="T345">
        <v>160</v>
      </c>
      <c r="U345">
        <v>171.6</v>
      </c>
      <c r="V345">
        <v>169</v>
      </c>
      <c r="W345">
        <v>178.4</v>
      </c>
      <c r="X345">
        <v>164.2</v>
      </c>
      <c r="Y345">
        <v>172.6</v>
      </c>
      <c r="Z345">
        <v>157.69999999999999</v>
      </c>
      <c r="AA345">
        <v>165.1</v>
      </c>
      <c r="AB345">
        <v>169.9</v>
      </c>
      <c r="AC345">
        <v>171.4</v>
      </c>
      <c r="AD345">
        <v>165.4</v>
      </c>
      <c r="AE345">
        <v>173.1</v>
      </c>
      <c r="AF345" t="str">
        <f>IF(AND(CPI_Data[[#This Row],[Date]]&gt;=DATE(2019,3,1),CPI_Data[[#This Row],[Date]]&lt;DATE(2020,3,1)),"Pre-COVID",IF(AND(CPI_Data[[#This Row],[Date]]&gt;=DATE(2020,3,1),CPI_Data[[#This Row],[Date]]&lt;DATE(2021,3,1)),"Post-COVID",""))</f>
        <v/>
      </c>
    </row>
    <row r="346" spans="1:32" hidden="1" x14ac:dyDescent="0.25">
      <c r="A346" t="s">
        <v>34</v>
      </c>
      <c r="B346">
        <v>2022</v>
      </c>
      <c r="C346" s="1" t="s">
        <v>41</v>
      </c>
      <c r="D346" s="2">
        <f>DATE(CPI_Data[[#This Row],[Year]],MATCH(CPI_Data[[#This Row],[Month]],{"January","February","March","April","May","June","July","August","September","October","November","December"},0),1)</f>
        <v>44774</v>
      </c>
      <c r="E346">
        <v>160.30000000000001</v>
      </c>
      <c r="F346">
        <v>206.5</v>
      </c>
      <c r="G346">
        <v>169.2</v>
      </c>
      <c r="H346">
        <v>168.1</v>
      </c>
      <c r="I346">
        <v>192.4</v>
      </c>
      <c r="J346">
        <v>172.9</v>
      </c>
      <c r="K346">
        <v>186.7</v>
      </c>
      <c r="L346">
        <v>167.2</v>
      </c>
      <c r="M346">
        <v>120.9</v>
      </c>
      <c r="N346">
        <v>193.6</v>
      </c>
      <c r="O346">
        <v>168.8</v>
      </c>
      <c r="P346">
        <v>186.3</v>
      </c>
      <c r="Q346">
        <v>176.3</v>
      </c>
      <c r="R346">
        <v>195</v>
      </c>
      <c r="S346">
        <v>179.5</v>
      </c>
      <c r="T346">
        <v>172.7</v>
      </c>
      <c r="U346">
        <v>178.5</v>
      </c>
      <c r="V346">
        <v>169</v>
      </c>
      <c r="W346">
        <v>178.8</v>
      </c>
      <c r="X346">
        <v>168.5</v>
      </c>
      <c r="Y346">
        <v>176.8</v>
      </c>
      <c r="Z346">
        <v>161.9</v>
      </c>
      <c r="AA346">
        <v>166.9</v>
      </c>
      <c r="AB346">
        <v>172.3</v>
      </c>
      <c r="AC346">
        <v>171.2</v>
      </c>
      <c r="AD346">
        <v>169.1</v>
      </c>
      <c r="AE346">
        <v>174.3</v>
      </c>
      <c r="AF346" t="str">
        <f>IF(AND(CPI_Data[[#This Row],[Date]]&gt;=DATE(2019,3,1),CPI_Data[[#This Row],[Date]]&lt;DATE(2020,3,1)),"Pre-COVID",IF(AND(CPI_Data[[#This Row],[Date]]&gt;=DATE(2020,3,1),CPI_Data[[#This Row],[Date]]&lt;DATE(2021,3,1)),"Post-COVID",""))</f>
        <v/>
      </c>
    </row>
    <row r="347" spans="1:32" hidden="1" x14ac:dyDescent="0.25">
      <c r="A347" t="s">
        <v>30</v>
      </c>
      <c r="B347">
        <v>2022</v>
      </c>
      <c r="C347" s="1" t="s">
        <v>42</v>
      </c>
      <c r="D347" s="2">
        <f>DATE(CPI_Data[[#This Row],[Year]],MATCH(CPI_Data[[#This Row],[Month]],{"January","February","March","April","May","June","July","August","September","October","November","December"},0),1)</f>
        <v>44805</v>
      </c>
      <c r="E347">
        <v>162.9</v>
      </c>
      <c r="F347">
        <v>206.7</v>
      </c>
      <c r="G347">
        <v>169</v>
      </c>
      <c r="H347">
        <v>169.5</v>
      </c>
      <c r="I347">
        <v>194.1</v>
      </c>
      <c r="J347">
        <v>164.1</v>
      </c>
      <c r="K347">
        <v>176.9</v>
      </c>
      <c r="L347">
        <v>169</v>
      </c>
      <c r="M347">
        <v>120.8</v>
      </c>
      <c r="N347">
        <v>199.1</v>
      </c>
      <c r="O347">
        <v>175.4</v>
      </c>
      <c r="P347">
        <v>184.8</v>
      </c>
      <c r="Q347">
        <v>175.5</v>
      </c>
      <c r="R347">
        <v>194.5</v>
      </c>
      <c r="S347">
        <v>184.7</v>
      </c>
      <c r="T347">
        <v>183.3</v>
      </c>
      <c r="U347">
        <v>184.5</v>
      </c>
      <c r="V347" t="s">
        <v>32</v>
      </c>
      <c r="W347">
        <v>179.7</v>
      </c>
      <c r="X347">
        <v>173.6</v>
      </c>
      <c r="Y347">
        <v>180.2</v>
      </c>
      <c r="Z347">
        <v>166.9</v>
      </c>
      <c r="AA347">
        <v>170</v>
      </c>
      <c r="AB347">
        <v>176.2</v>
      </c>
      <c r="AC347">
        <v>170.8</v>
      </c>
      <c r="AD347">
        <v>173.1</v>
      </c>
      <c r="AE347">
        <v>176.4</v>
      </c>
      <c r="AF347" t="str">
        <f>IF(AND(CPI_Data[[#This Row],[Date]]&gt;=DATE(2019,3,1),CPI_Data[[#This Row],[Date]]&lt;DATE(2020,3,1)),"Pre-COVID",IF(AND(CPI_Data[[#This Row],[Date]]&gt;=DATE(2020,3,1),CPI_Data[[#This Row],[Date]]&lt;DATE(2021,3,1)),"Post-COVID",""))</f>
        <v/>
      </c>
    </row>
    <row r="348" spans="1:32" hidden="1" x14ac:dyDescent="0.25">
      <c r="A348" t="s">
        <v>33</v>
      </c>
      <c r="B348">
        <v>2022</v>
      </c>
      <c r="C348" s="1" t="s">
        <v>42</v>
      </c>
      <c r="D348" s="2">
        <f>DATE(CPI_Data[[#This Row],[Year]],MATCH(CPI_Data[[#This Row],[Month]],{"January","February","March","April","May","June","July","August","September","October","November","December"},0),1)</f>
        <v>44805</v>
      </c>
      <c r="E348">
        <v>164.9</v>
      </c>
      <c r="F348">
        <v>213.7</v>
      </c>
      <c r="G348">
        <v>170.9</v>
      </c>
      <c r="H348">
        <v>170.1</v>
      </c>
      <c r="I348">
        <v>179.3</v>
      </c>
      <c r="J348">
        <v>167.5</v>
      </c>
      <c r="K348">
        <v>220.8</v>
      </c>
      <c r="L348">
        <v>169.2</v>
      </c>
      <c r="M348">
        <v>123.1</v>
      </c>
      <c r="N348">
        <v>193.6</v>
      </c>
      <c r="O348">
        <v>161.1</v>
      </c>
      <c r="P348">
        <v>190.4</v>
      </c>
      <c r="Q348">
        <v>181.8</v>
      </c>
      <c r="R348">
        <v>199.7</v>
      </c>
      <c r="S348">
        <v>175</v>
      </c>
      <c r="T348">
        <v>161.69999999999999</v>
      </c>
      <c r="U348">
        <v>173</v>
      </c>
      <c r="V348">
        <v>169.5</v>
      </c>
      <c r="W348">
        <v>179.2</v>
      </c>
      <c r="X348">
        <v>165</v>
      </c>
      <c r="Y348">
        <v>173.8</v>
      </c>
      <c r="Z348">
        <v>158.19999999999999</v>
      </c>
      <c r="AA348">
        <v>165.8</v>
      </c>
      <c r="AB348">
        <v>170.9</v>
      </c>
      <c r="AC348">
        <v>171.1</v>
      </c>
      <c r="AD348">
        <v>166.1</v>
      </c>
      <c r="AE348">
        <v>174.1</v>
      </c>
      <c r="AF348" t="str">
        <f>IF(AND(CPI_Data[[#This Row],[Date]]&gt;=DATE(2019,3,1),CPI_Data[[#This Row],[Date]]&lt;DATE(2020,3,1)),"Pre-COVID",IF(AND(CPI_Data[[#This Row],[Date]]&gt;=DATE(2020,3,1),CPI_Data[[#This Row],[Date]]&lt;DATE(2021,3,1)),"Post-COVID",""))</f>
        <v/>
      </c>
    </row>
    <row r="349" spans="1:32" hidden="1" x14ac:dyDescent="0.25">
      <c r="A349" t="s">
        <v>34</v>
      </c>
      <c r="B349">
        <v>2022</v>
      </c>
      <c r="C349" s="1" t="s">
        <v>42</v>
      </c>
      <c r="D349" s="2">
        <f>DATE(CPI_Data[[#This Row],[Year]],MATCH(CPI_Data[[#This Row],[Month]],{"January","February","March","April","May","June","July","August","September","October","November","December"},0),1)</f>
        <v>44805</v>
      </c>
      <c r="E349">
        <v>163.5</v>
      </c>
      <c r="F349">
        <v>209.2</v>
      </c>
      <c r="G349">
        <v>169.7</v>
      </c>
      <c r="H349">
        <v>169.7</v>
      </c>
      <c r="I349">
        <v>188.7</v>
      </c>
      <c r="J349">
        <v>165.7</v>
      </c>
      <c r="K349">
        <v>191.8</v>
      </c>
      <c r="L349">
        <v>169.1</v>
      </c>
      <c r="M349">
        <v>121.6</v>
      </c>
      <c r="N349">
        <v>197.3</v>
      </c>
      <c r="O349">
        <v>169.4</v>
      </c>
      <c r="P349">
        <v>187.4</v>
      </c>
      <c r="Q349">
        <v>177.8</v>
      </c>
      <c r="R349">
        <v>195.9</v>
      </c>
      <c r="S349">
        <v>180.9</v>
      </c>
      <c r="T349">
        <v>174.3</v>
      </c>
      <c r="U349">
        <v>179.9</v>
      </c>
      <c r="V349">
        <v>169.5</v>
      </c>
      <c r="W349">
        <v>179.5</v>
      </c>
      <c r="X349">
        <v>169.5</v>
      </c>
      <c r="Y349">
        <v>177.8</v>
      </c>
      <c r="Z349">
        <v>162.30000000000001</v>
      </c>
      <c r="AA349">
        <v>167.6</v>
      </c>
      <c r="AB349">
        <v>173.1</v>
      </c>
      <c r="AC349">
        <v>170.9</v>
      </c>
      <c r="AD349">
        <v>169.7</v>
      </c>
      <c r="AE349">
        <v>175.3</v>
      </c>
      <c r="AF349" t="str">
        <f>IF(AND(CPI_Data[[#This Row],[Date]]&gt;=DATE(2019,3,1),CPI_Data[[#This Row],[Date]]&lt;DATE(2020,3,1)),"Pre-COVID",IF(AND(CPI_Data[[#This Row],[Date]]&gt;=DATE(2020,3,1),CPI_Data[[#This Row],[Date]]&lt;DATE(2021,3,1)),"Post-COVID",""))</f>
        <v/>
      </c>
    </row>
    <row r="350" spans="1:32" hidden="1" x14ac:dyDescent="0.25">
      <c r="A350" t="s">
        <v>30</v>
      </c>
      <c r="B350">
        <v>2022</v>
      </c>
      <c r="C350" s="1" t="s">
        <v>43</v>
      </c>
      <c r="D350" s="2">
        <f>DATE(CPI_Data[[#This Row],[Year]],MATCH(CPI_Data[[#This Row],[Month]],{"January","February","March","April","May","June","July","August","September","October","November","December"},0),1)</f>
        <v>44835</v>
      </c>
      <c r="E350">
        <v>164.7</v>
      </c>
      <c r="F350">
        <v>208.8</v>
      </c>
      <c r="G350">
        <v>170.3</v>
      </c>
      <c r="H350">
        <v>170.9</v>
      </c>
      <c r="I350">
        <v>191.6</v>
      </c>
      <c r="J350">
        <v>162.19999999999999</v>
      </c>
      <c r="K350">
        <v>184.8</v>
      </c>
      <c r="L350">
        <v>169.7</v>
      </c>
      <c r="M350">
        <v>121.1</v>
      </c>
      <c r="N350">
        <v>201.6</v>
      </c>
      <c r="O350">
        <v>175.8</v>
      </c>
      <c r="P350">
        <v>185.6</v>
      </c>
      <c r="Q350">
        <v>177.4</v>
      </c>
      <c r="R350">
        <v>194.9</v>
      </c>
      <c r="S350">
        <v>186.1</v>
      </c>
      <c r="T350">
        <v>184.4</v>
      </c>
      <c r="U350">
        <v>185.9</v>
      </c>
      <c r="V350" t="s">
        <v>32</v>
      </c>
      <c r="W350">
        <v>180.8</v>
      </c>
      <c r="X350">
        <v>174.4</v>
      </c>
      <c r="Y350">
        <v>181.2</v>
      </c>
      <c r="Z350">
        <v>167.4</v>
      </c>
      <c r="AA350">
        <v>170.6</v>
      </c>
      <c r="AB350">
        <v>176.5</v>
      </c>
      <c r="AC350">
        <v>172</v>
      </c>
      <c r="AD350">
        <v>173.9</v>
      </c>
      <c r="AE350">
        <v>177.9</v>
      </c>
      <c r="AF350" t="str">
        <f>IF(AND(CPI_Data[[#This Row],[Date]]&gt;=DATE(2019,3,1),CPI_Data[[#This Row],[Date]]&lt;DATE(2020,3,1)),"Pre-COVID",IF(AND(CPI_Data[[#This Row],[Date]]&gt;=DATE(2020,3,1),CPI_Data[[#This Row],[Date]]&lt;DATE(2021,3,1)),"Post-COVID",""))</f>
        <v/>
      </c>
    </row>
    <row r="351" spans="1:32" hidden="1" x14ac:dyDescent="0.25">
      <c r="A351" t="s">
        <v>33</v>
      </c>
      <c r="B351">
        <v>2022</v>
      </c>
      <c r="C351" s="1" t="s">
        <v>43</v>
      </c>
      <c r="D351" s="2">
        <f>DATE(CPI_Data[[#This Row],[Year]],MATCH(CPI_Data[[#This Row],[Month]],{"January","February","March","April","May","June","July","August","September","October","November","December"},0),1)</f>
        <v>44835</v>
      </c>
      <c r="E351">
        <v>166.4</v>
      </c>
      <c r="F351">
        <v>214.9</v>
      </c>
      <c r="G351">
        <v>171.9</v>
      </c>
      <c r="H351">
        <v>171</v>
      </c>
      <c r="I351">
        <v>177.7</v>
      </c>
      <c r="J351">
        <v>165.7</v>
      </c>
      <c r="K351">
        <v>228.6</v>
      </c>
      <c r="L351">
        <v>169.9</v>
      </c>
      <c r="M351">
        <v>123.4</v>
      </c>
      <c r="N351">
        <v>196.4</v>
      </c>
      <c r="O351">
        <v>161.6</v>
      </c>
      <c r="P351">
        <v>191.5</v>
      </c>
      <c r="Q351">
        <v>183.3</v>
      </c>
      <c r="R351">
        <v>200.1</v>
      </c>
      <c r="S351">
        <v>175.5</v>
      </c>
      <c r="T351">
        <v>162.6</v>
      </c>
      <c r="U351">
        <v>173.6</v>
      </c>
      <c r="V351">
        <v>171.2</v>
      </c>
      <c r="W351">
        <v>180</v>
      </c>
      <c r="X351">
        <v>166</v>
      </c>
      <c r="Y351">
        <v>174.7</v>
      </c>
      <c r="Z351">
        <v>158.80000000000001</v>
      </c>
      <c r="AA351">
        <v>166.3</v>
      </c>
      <c r="AB351">
        <v>171.2</v>
      </c>
      <c r="AC351">
        <v>172.3</v>
      </c>
      <c r="AD351">
        <v>166.8</v>
      </c>
      <c r="AE351">
        <v>175.3</v>
      </c>
      <c r="AF351" t="str">
        <f>IF(AND(CPI_Data[[#This Row],[Date]]&gt;=DATE(2019,3,1),CPI_Data[[#This Row],[Date]]&lt;DATE(2020,3,1)),"Pre-COVID",IF(AND(CPI_Data[[#This Row],[Date]]&gt;=DATE(2020,3,1),CPI_Data[[#This Row],[Date]]&lt;DATE(2021,3,1)),"Post-COVID",""))</f>
        <v/>
      </c>
    </row>
    <row r="352" spans="1:32" hidden="1" x14ac:dyDescent="0.25">
      <c r="A352" t="s">
        <v>34</v>
      </c>
      <c r="B352">
        <v>2022</v>
      </c>
      <c r="C352" s="1" t="s">
        <v>43</v>
      </c>
      <c r="D352" s="2">
        <f>DATE(CPI_Data[[#This Row],[Year]],MATCH(CPI_Data[[#This Row],[Month]],{"January","February","March","April","May","June","July","August","September","October","November","December"},0),1)</f>
        <v>44835</v>
      </c>
      <c r="E352">
        <v>165.2</v>
      </c>
      <c r="F352">
        <v>210.9</v>
      </c>
      <c r="G352">
        <v>170.9</v>
      </c>
      <c r="H352">
        <v>170.9</v>
      </c>
      <c r="I352">
        <v>186.5</v>
      </c>
      <c r="J352">
        <v>163.80000000000001</v>
      </c>
      <c r="K352">
        <v>199.7</v>
      </c>
      <c r="L352">
        <v>169.8</v>
      </c>
      <c r="M352">
        <v>121.9</v>
      </c>
      <c r="N352">
        <v>199.9</v>
      </c>
      <c r="O352">
        <v>169.9</v>
      </c>
      <c r="P352">
        <v>188.3</v>
      </c>
      <c r="Q352">
        <v>179.6</v>
      </c>
      <c r="R352">
        <v>196.3</v>
      </c>
      <c r="S352">
        <v>181.9</v>
      </c>
      <c r="T352">
        <v>175.3</v>
      </c>
      <c r="U352">
        <v>181</v>
      </c>
      <c r="V352">
        <v>171.2</v>
      </c>
      <c r="W352">
        <v>180.5</v>
      </c>
      <c r="X352">
        <v>170.4</v>
      </c>
      <c r="Y352">
        <v>178.7</v>
      </c>
      <c r="Z352">
        <v>162.9</v>
      </c>
      <c r="AA352">
        <v>168.2</v>
      </c>
      <c r="AB352">
        <v>173.4</v>
      </c>
      <c r="AC352">
        <v>172.1</v>
      </c>
      <c r="AD352">
        <v>170.5</v>
      </c>
      <c r="AE352">
        <v>176.7</v>
      </c>
      <c r="AF352" t="str">
        <f>IF(AND(CPI_Data[[#This Row],[Date]]&gt;=DATE(2019,3,1),CPI_Data[[#This Row],[Date]]&lt;DATE(2020,3,1)),"Pre-COVID",IF(AND(CPI_Data[[#This Row],[Date]]&gt;=DATE(2020,3,1),CPI_Data[[#This Row],[Date]]&lt;DATE(2021,3,1)),"Post-COVID",""))</f>
        <v/>
      </c>
    </row>
    <row r="353" spans="1:32" hidden="1" x14ac:dyDescent="0.25">
      <c r="A353" t="s">
        <v>30</v>
      </c>
      <c r="B353">
        <v>2022</v>
      </c>
      <c r="C353" s="1" t="s">
        <v>45</v>
      </c>
      <c r="D353" s="2">
        <f>DATE(CPI_Data[[#This Row],[Year]],MATCH(CPI_Data[[#This Row],[Month]],{"January","February","March","April","May","June","July","August","September","October","November","December"},0),1)</f>
        <v>44866</v>
      </c>
      <c r="E353">
        <v>166.9</v>
      </c>
      <c r="F353">
        <v>207.2</v>
      </c>
      <c r="G353">
        <v>180.2</v>
      </c>
      <c r="H353">
        <v>172.3</v>
      </c>
      <c r="I353">
        <v>194</v>
      </c>
      <c r="J353">
        <v>159.1</v>
      </c>
      <c r="K353">
        <v>171.6</v>
      </c>
      <c r="L353">
        <v>170.2</v>
      </c>
      <c r="M353">
        <v>121.5</v>
      </c>
      <c r="N353">
        <v>204.8</v>
      </c>
      <c r="O353">
        <v>176.4</v>
      </c>
      <c r="P353">
        <v>186.9</v>
      </c>
      <c r="Q353">
        <v>176.6</v>
      </c>
      <c r="R353">
        <v>195.5</v>
      </c>
      <c r="S353">
        <v>187.2</v>
      </c>
      <c r="T353">
        <v>185.2</v>
      </c>
      <c r="U353">
        <v>186.9</v>
      </c>
      <c r="V353" t="s">
        <v>32</v>
      </c>
      <c r="W353">
        <v>181.9</v>
      </c>
      <c r="X353">
        <v>175.5</v>
      </c>
      <c r="Y353">
        <v>182.3</v>
      </c>
      <c r="Z353">
        <v>167.5</v>
      </c>
      <c r="AA353">
        <v>170.8</v>
      </c>
      <c r="AB353">
        <v>176.9</v>
      </c>
      <c r="AC353">
        <v>173.4</v>
      </c>
      <c r="AD353">
        <v>174.6</v>
      </c>
      <c r="AE353">
        <v>177.8</v>
      </c>
      <c r="AF353" t="str">
        <f>IF(AND(CPI_Data[[#This Row],[Date]]&gt;=DATE(2019,3,1),CPI_Data[[#This Row],[Date]]&lt;DATE(2020,3,1)),"Pre-COVID",IF(AND(CPI_Data[[#This Row],[Date]]&gt;=DATE(2020,3,1),CPI_Data[[#This Row],[Date]]&lt;DATE(2021,3,1)),"Post-COVID",""))</f>
        <v/>
      </c>
    </row>
    <row r="354" spans="1:32" hidden="1" x14ac:dyDescent="0.25">
      <c r="A354" t="s">
        <v>33</v>
      </c>
      <c r="B354">
        <v>2022</v>
      </c>
      <c r="C354" s="1" t="s">
        <v>45</v>
      </c>
      <c r="D354" s="2">
        <f>DATE(CPI_Data[[#This Row],[Year]],MATCH(CPI_Data[[#This Row],[Month]],{"January","February","March","April","May","June","July","August","September","October","November","December"},0),1)</f>
        <v>44866</v>
      </c>
      <c r="E354">
        <v>168.4</v>
      </c>
      <c r="F354">
        <v>213.4</v>
      </c>
      <c r="G354">
        <v>183.2</v>
      </c>
      <c r="H354">
        <v>172.3</v>
      </c>
      <c r="I354">
        <v>180</v>
      </c>
      <c r="J354">
        <v>162.6</v>
      </c>
      <c r="K354">
        <v>205.5</v>
      </c>
      <c r="L354">
        <v>171</v>
      </c>
      <c r="M354">
        <v>123.4</v>
      </c>
      <c r="N354">
        <v>198.8</v>
      </c>
      <c r="O354">
        <v>162.1</v>
      </c>
      <c r="P354">
        <v>192.4</v>
      </c>
      <c r="Q354">
        <v>181.3</v>
      </c>
      <c r="R354">
        <v>200.6</v>
      </c>
      <c r="S354">
        <v>176.7</v>
      </c>
      <c r="T354">
        <v>163.5</v>
      </c>
      <c r="U354">
        <v>174.7</v>
      </c>
      <c r="V354">
        <v>171.8</v>
      </c>
      <c r="W354">
        <v>180.3</v>
      </c>
      <c r="X354">
        <v>166.9</v>
      </c>
      <c r="Y354">
        <v>175.8</v>
      </c>
      <c r="Z354">
        <v>158.9</v>
      </c>
      <c r="AA354">
        <v>166.7</v>
      </c>
      <c r="AB354">
        <v>171.5</v>
      </c>
      <c r="AC354">
        <v>173.8</v>
      </c>
      <c r="AD354">
        <v>167.4</v>
      </c>
      <c r="AE354">
        <v>174.1</v>
      </c>
      <c r="AF354" t="str">
        <f>IF(AND(CPI_Data[[#This Row],[Date]]&gt;=DATE(2019,3,1),CPI_Data[[#This Row],[Date]]&lt;DATE(2020,3,1)),"Pre-COVID",IF(AND(CPI_Data[[#This Row],[Date]]&gt;=DATE(2020,3,1),CPI_Data[[#This Row],[Date]]&lt;DATE(2021,3,1)),"Post-COVID",""))</f>
        <v/>
      </c>
    </row>
    <row r="355" spans="1:32" hidden="1" x14ac:dyDescent="0.25">
      <c r="A355" t="s">
        <v>34</v>
      </c>
      <c r="B355">
        <v>2022</v>
      </c>
      <c r="C355" s="1" t="s">
        <v>45</v>
      </c>
      <c r="D355" s="2">
        <f>DATE(CPI_Data[[#This Row],[Year]],MATCH(CPI_Data[[#This Row],[Month]],{"January","February","March","April","May","June","July","August","September","October","November","December"},0),1)</f>
        <v>44866</v>
      </c>
      <c r="E355">
        <v>167.4</v>
      </c>
      <c r="F355">
        <v>209.4</v>
      </c>
      <c r="G355">
        <v>181.4</v>
      </c>
      <c r="H355">
        <v>172.3</v>
      </c>
      <c r="I355">
        <v>188.9</v>
      </c>
      <c r="J355">
        <v>160.69999999999999</v>
      </c>
      <c r="K355">
        <v>183.1</v>
      </c>
      <c r="L355">
        <v>170.5</v>
      </c>
      <c r="M355">
        <v>122.1</v>
      </c>
      <c r="N355">
        <v>202.8</v>
      </c>
      <c r="O355">
        <v>170.4</v>
      </c>
      <c r="P355">
        <v>189.5</v>
      </c>
      <c r="Q355">
        <v>178.3</v>
      </c>
      <c r="R355">
        <v>196.9</v>
      </c>
      <c r="S355">
        <v>183.1</v>
      </c>
      <c r="T355">
        <v>176.2</v>
      </c>
      <c r="U355">
        <v>182.1</v>
      </c>
      <c r="V355">
        <v>171.8</v>
      </c>
      <c r="W355">
        <v>181.3</v>
      </c>
      <c r="X355">
        <v>171.4</v>
      </c>
      <c r="Y355">
        <v>179.8</v>
      </c>
      <c r="Z355">
        <v>163</v>
      </c>
      <c r="AA355">
        <v>168.5</v>
      </c>
      <c r="AB355">
        <v>173.7</v>
      </c>
      <c r="AC355">
        <v>173.6</v>
      </c>
      <c r="AD355">
        <v>171.1</v>
      </c>
      <c r="AE355">
        <v>176.5</v>
      </c>
      <c r="AF355" t="str">
        <f>IF(AND(CPI_Data[[#This Row],[Date]]&gt;=DATE(2019,3,1),CPI_Data[[#This Row],[Date]]&lt;DATE(2020,3,1)),"Pre-COVID",IF(AND(CPI_Data[[#This Row],[Date]]&gt;=DATE(2020,3,1),CPI_Data[[#This Row],[Date]]&lt;DATE(2021,3,1)),"Post-COVID",""))</f>
        <v/>
      </c>
    </row>
    <row r="356" spans="1:32" hidden="1" x14ac:dyDescent="0.25">
      <c r="A356" t="s">
        <v>30</v>
      </c>
      <c r="B356">
        <v>2022</v>
      </c>
      <c r="C356" s="1" t="s">
        <v>46</v>
      </c>
      <c r="D356" s="2">
        <f>DATE(CPI_Data[[#This Row],[Year]],MATCH(CPI_Data[[#This Row],[Month]],{"January","February","March","April","May","June","July","August","September","October","November","December"},0),1)</f>
        <v>44896</v>
      </c>
      <c r="E356">
        <v>168.8</v>
      </c>
      <c r="F356">
        <v>206.9</v>
      </c>
      <c r="G356">
        <v>189.1</v>
      </c>
      <c r="H356">
        <v>173.4</v>
      </c>
      <c r="I356">
        <v>193.9</v>
      </c>
      <c r="J356">
        <v>156.69999999999999</v>
      </c>
      <c r="K356">
        <v>150.19999999999999</v>
      </c>
      <c r="L356">
        <v>170.5</v>
      </c>
      <c r="M356">
        <v>121.2</v>
      </c>
      <c r="N356">
        <v>207.5</v>
      </c>
      <c r="O356">
        <v>176.8</v>
      </c>
      <c r="P356">
        <v>187.7</v>
      </c>
      <c r="Q356">
        <v>174.4</v>
      </c>
      <c r="R356">
        <v>195.9</v>
      </c>
      <c r="S356">
        <v>188.1</v>
      </c>
      <c r="T356">
        <v>185.9</v>
      </c>
      <c r="U356">
        <v>187.8</v>
      </c>
      <c r="V356" t="s">
        <v>32</v>
      </c>
      <c r="W356">
        <v>182.8</v>
      </c>
      <c r="X356">
        <v>176.4</v>
      </c>
      <c r="Y356">
        <v>183.5</v>
      </c>
      <c r="Z356">
        <v>167.8</v>
      </c>
      <c r="AA356">
        <v>171.2</v>
      </c>
      <c r="AB356">
        <v>177.3</v>
      </c>
      <c r="AC356">
        <v>175.7</v>
      </c>
      <c r="AD356">
        <v>175.5</v>
      </c>
      <c r="AE356">
        <v>177.1</v>
      </c>
      <c r="AF356" t="str">
        <f>IF(AND(CPI_Data[[#This Row],[Date]]&gt;=DATE(2019,3,1),CPI_Data[[#This Row],[Date]]&lt;DATE(2020,3,1)),"Pre-COVID",IF(AND(CPI_Data[[#This Row],[Date]]&gt;=DATE(2020,3,1),CPI_Data[[#This Row],[Date]]&lt;DATE(2021,3,1)),"Post-COVID",""))</f>
        <v/>
      </c>
    </row>
    <row r="357" spans="1:32" hidden="1" x14ac:dyDescent="0.25">
      <c r="A357" t="s">
        <v>33</v>
      </c>
      <c r="B357">
        <v>2022</v>
      </c>
      <c r="C357" s="1" t="s">
        <v>46</v>
      </c>
      <c r="D357" s="2">
        <f>DATE(CPI_Data[[#This Row],[Year]],MATCH(CPI_Data[[#This Row],[Month]],{"January","February","March","April","May","June","July","August","September","October","November","December"},0),1)</f>
        <v>44896</v>
      </c>
      <c r="E357">
        <v>170.2</v>
      </c>
      <c r="F357">
        <v>212.9</v>
      </c>
      <c r="G357">
        <v>191.9</v>
      </c>
      <c r="H357">
        <v>173.9</v>
      </c>
      <c r="I357">
        <v>179.1</v>
      </c>
      <c r="J357">
        <v>159.5</v>
      </c>
      <c r="K357">
        <v>178.7</v>
      </c>
      <c r="L357">
        <v>171.3</v>
      </c>
      <c r="M357">
        <v>123.1</v>
      </c>
      <c r="N357">
        <v>200.5</v>
      </c>
      <c r="O357">
        <v>162.80000000000001</v>
      </c>
      <c r="P357">
        <v>193.3</v>
      </c>
      <c r="Q357">
        <v>178.6</v>
      </c>
      <c r="R357">
        <v>201.1</v>
      </c>
      <c r="S357">
        <v>177.7</v>
      </c>
      <c r="T357">
        <v>164.5</v>
      </c>
      <c r="U357">
        <v>175.7</v>
      </c>
      <c r="V357">
        <v>170.7</v>
      </c>
      <c r="W357">
        <v>180.6</v>
      </c>
      <c r="X357">
        <v>167.3</v>
      </c>
      <c r="Y357">
        <v>177.2</v>
      </c>
      <c r="Z357">
        <v>159.4</v>
      </c>
      <c r="AA357">
        <v>167.1</v>
      </c>
      <c r="AB357">
        <v>171.8</v>
      </c>
      <c r="AC357">
        <v>176</v>
      </c>
      <c r="AD357">
        <v>168.2</v>
      </c>
      <c r="AE357">
        <v>174.1</v>
      </c>
      <c r="AF357" t="str">
        <f>IF(AND(CPI_Data[[#This Row],[Date]]&gt;=DATE(2019,3,1),CPI_Data[[#This Row],[Date]]&lt;DATE(2020,3,1)),"Pre-COVID",IF(AND(CPI_Data[[#This Row],[Date]]&gt;=DATE(2020,3,1),CPI_Data[[#This Row],[Date]]&lt;DATE(2021,3,1)),"Post-COVID",""))</f>
        <v/>
      </c>
    </row>
    <row r="358" spans="1:32" hidden="1" x14ac:dyDescent="0.25">
      <c r="A358" t="s">
        <v>34</v>
      </c>
      <c r="B358">
        <v>2022</v>
      </c>
      <c r="C358" s="1" t="s">
        <v>46</v>
      </c>
      <c r="D358" s="2">
        <f>DATE(CPI_Data[[#This Row],[Year]],MATCH(CPI_Data[[#This Row],[Month]],{"January","February","March","April","May","June","July","August","September","October","November","December"},0),1)</f>
        <v>44896</v>
      </c>
      <c r="E358">
        <v>169.2</v>
      </c>
      <c r="F358">
        <v>209</v>
      </c>
      <c r="G358">
        <v>190.2</v>
      </c>
      <c r="H358">
        <v>173.6</v>
      </c>
      <c r="I358">
        <v>188.5</v>
      </c>
      <c r="J358">
        <v>158</v>
      </c>
      <c r="K358">
        <v>159.9</v>
      </c>
      <c r="L358">
        <v>170.8</v>
      </c>
      <c r="M358">
        <v>121.8</v>
      </c>
      <c r="N358">
        <v>205.2</v>
      </c>
      <c r="O358">
        <v>171</v>
      </c>
      <c r="P358">
        <v>190.3</v>
      </c>
      <c r="Q358">
        <v>175.9</v>
      </c>
      <c r="R358">
        <v>197.3</v>
      </c>
      <c r="S358">
        <v>184</v>
      </c>
      <c r="T358">
        <v>177</v>
      </c>
      <c r="U358">
        <v>183</v>
      </c>
      <c r="V358">
        <v>170.7</v>
      </c>
      <c r="W358">
        <v>182</v>
      </c>
      <c r="X358">
        <v>172.1</v>
      </c>
      <c r="Y358">
        <v>181.1</v>
      </c>
      <c r="Z358">
        <v>163.4</v>
      </c>
      <c r="AA358">
        <v>168.9</v>
      </c>
      <c r="AB358">
        <v>174.1</v>
      </c>
      <c r="AC358">
        <v>175.8</v>
      </c>
      <c r="AD358">
        <v>172</v>
      </c>
      <c r="AE358">
        <v>175.7</v>
      </c>
      <c r="AF358" t="str">
        <f>IF(AND(CPI_Data[[#This Row],[Date]]&gt;=DATE(2019,3,1),CPI_Data[[#This Row],[Date]]&lt;DATE(2020,3,1)),"Pre-COVID",IF(AND(CPI_Data[[#This Row],[Date]]&gt;=DATE(2020,3,1),CPI_Data[[#This Row],[Date]]&lt;DATE(2021,3,1)),"Post-COVID",""))</f>
        <v/>
      </c>
    </row>
    <row r="359" spans="1:32" x14ac:dyDescent="0.25">
      <c r="A359" t="s">
        <v>30</v>
      </c>
      <c r="B359">
        <v>2023</v>
      </c>
      <c r="C359" s="1" t="s">
        <v>31</v>
      </c>
      <c r="D359" s="2">
        <f>DATE(CPI_Data[[#This Row],[Year]],MATCH(CPI_Data[[#This Row],[Month]],{"January","February","March","April","May","June","July","August","September","October","November","December"},0),1)</f>
        <v>44927</v>
      </c>
      <c r="E359">
        <v>174</v>
      </c>
      <c r="F359">
        <v>208.3</v>
      </c>
      <c r="G359">
        <v>192.9</v>
      </c>
      <c r="H359">
        <v>174.3</v>
      </c>
      <c r="I359">
        <v>192.6</v>
      </c>
      <c r="J359">
        <v>156.30000000000001</v>
      </c>
      <c r="K359">
        <v>142.9</v>
      </c>
      <c r="L359">
        <v>170.7</v>
      </c>
      <c r="M359">
        <v>120.3</v>
      </c>
      <c r="N359">
        <v>210.5</v>
      </c>
      <c r="O359">
        <v>176.9</v>
      </c>
      <c r="P359">
        <v>188.5</v>
      </c>
      <c r="Q359">
        <v>175</v>
      </c>
      <c r="R359">
        <v>196.9</v>
      </c>
      <c r="S359">
        <v>189</v>
      </c>
      <c r="T359">
        <v>186.3</v>
      </c>
      <c r="U359">
        <v>188.6</v>
      </c>
      <c r="V359" t="s">
        <v>32</v>
      </c>
      <c r="W359">
        <v>183.2</v>
      </c>
      <c r="X359">
        <v>177.2</v>
      </c>
      <c r="Y359">
        <v>184.7</v>
      </c>
      <c r="Z359">
        <v>168.2</v>
      </c>
      <c r="AA359">
        <v>171.8</v>
      </c>
      <c r="AB359">
        <v>177.8</v>
      </c>
      <c r="AC359">
        <v>178.4</v>
      </c>
      <c r="AD359">
        <v>176.5</v>
      </c>
      <c r="AE359">
        <v>177.8</v>
      </c>
      <c r="AF359" t="str">
        <f>IF(AND(CPI_Data[[#This Row],[Date]]&gt;=DATE(2019,3,1),CPI_Data[[#This Row],[Date]]&lt;DATE(2020,3,1)),"Pre-COVID",IF(AND(CPI_Data[[#This Row],[Date]]&gt;=DATE(2020,3,1),CPI_Data[[#This Row],[Date]]&lt;DATE(2021,3,1)),"Post-COVID",""))</f>
        <v/>
      </c>
    </row>
    <row r="360" spans="1:32" x14ac:dyDescent="0.25">
      <c r="A360" t="s">
        <v>33</v>
      </c>
      <c r="B360">
        <v>2023</v>
      </c>
      <c r="C360" s="1" t="s">
        <v>31</v>
      </c>
      <c r="D360" s="2">
        <f>DATE(CPI_Data[[#This Row],[Year]],MATCH(CPI_Data[[#This Row],[Month]],{"January","February","March","April","May","June","July","August","September","October","November","December"},0),1)</f>
        <v>44927</v>
      </c>
      <c r="E360">
        <v>173.3</v>
      </c>
      <c r="F360">
        <v>215.2</v>
      </c>
      <c r="G360">
        <v>197</v>
      </c>
      <c r="H360">
        <v>175.2</v>
      </c>
      <c r="I360">
        <v>178</v>
      </c>
      <c r="J360">
        <v>160.5</v>
      </c>
      <c r="K360">
        <v>175.3</v>
      </c>
      <c r="L360">
        <v>171.2</v>
      </c>
      <c r="M360">
        <v>122.7</v>
      </c>
      <c r="N360">
        <v>204.3</v>
      </c>
      <c r="O360">
        <v>163.69999999999999</v>
      </c>
      <c r="P360">
        <v>194.3</v>
      </c>
      <c r="Q360">
        <v>179.5</v>
      </c>
      <c r="R360">
        <v>201.6</v>
      </c>
      <c r="S360">
        <v>178.7</v>
      </c>
      <c r="T360">
        <v>165.3</v>
      </c>
      <c r="U360">
        <v>176.6</v>
      </c>
      <c r="V360">
        <v>172.1</v>
      </c>
      <c r="W360">
        <v>180.1</v>
      </c>
      <c r="X360">
        <v>168</v>
      </c>
      <c r="Y360">
        <v>178.5</v>
      </c>
      <c r="Z360">
        <v>159.5</v>
      </c>
      <c r="AA360">
        <v>167.8</v>
      </c>
      <c r="AB360">
        <v>171.8</v>
      </c>
      <c r="AC360">
        <v>178.8</v>
      </c>
      <c r="AD360">
        <v>168.9</v>
      </c>
      <c r="AE360">
        <v>174.9</v>
      </c>
      <c r="AF360" t="str">
        <f>IF(AND(CPI_Data[[#This Row],[Date]]&gt;=DATE(2019,3,1),CPI_Data[[#This Row],[Date]]&lt;DATE(2020,3,1)),"Pre-COVID",IF(AND(CPI_Data[[#This Row],[Date]]&gt;=DATE(2020,3,1),CPI_Data[[#This Row],[Date]]&lt;DATE(2021,3,1)),"Post-COVID",""))</f>
        <v/>
      </c>
    </row>
    <row r="361" spans="1:32" x14ac:dyDescent="0.25">
      <c r="A361" t="s">
        <v>34</v>
      </c>
      <c r="B361">
        <v>2023</v>
      </c>
      <c r="C361" s="1" t="s">
        <v>31</v>
      </c>
      <c r="D361" s="2">
        <f>DATE(CPI_Data[[#This Row],[Year]],MATCH(CPI_Data[[#This Row],[Month]],{"January","February","March","April","May","June","July","August","September","October","November","December"},0),1)</f>
        <v>44927</v>
      </c>
      <c r="E361">
        <v>173.8</v>
      </c>
      <c r="F361">
        <v>210.7</v>
      </c>
      <c r="G361">
        <v>194.5</v>
      </c>
      <c r="H361">
        <v>174.6</v>
      </c>
      <c r="I361">
        <v>187.2</v>
      </c>
      <c r="J361">
        <v>158.30000000000001</v>
      </c>
      <c r="K361">
        <v>153.9</v>
      </c>
      <c r="L361">
        <v>170.9</v>
      </c>
      <c r="M361">
        <v>121.1</v>
      </c>
      <c r="N361">
        <v>208.4</v>
      </c>
      <c r="O361">
        <v>171.4</v>
      </c>
      <c r="P361">
        <v>191.2</v>
      </c>
      <c r="Q361">
        <v>176.7</v>
      </c>
      <c r="R361">
        <v>198.2</v>
      </c>
      <c r="S361">
        <v>184.9</v>
      </c>
      <c r="T361">
        <v>177.6</v>
      </c>
      <c r="U361">
        <v>183.8</v>
      </c>
      <c r="V361">
        <v>172.1</v>
      </c>
      <c r="W361">
        <v>182</v>
      </c>
      <c r="X361">
        <v>172.9</v>
      </c>
      <c r="Y361">
        <v>182.3</v>
      </c>
      <c r="Z361">
        <v>163.6</v>
      </c>
      <c r="AA361">
        <v>169.5</v>
      </c>
      <c r="AB361">
        <v>174.3</v>
      </c>
      <c r="AC361">
        <v>178.6</v>
      </c>
      <c r="AD361">
        <v>172.8</v>
      </c>
      <c r="AE361">
        <v>176.5</v>
      </c>
      <c r="AF361" t="str">
        <f>IF(AND(CPI_Data[[#This Row],[Date]]&gt;=DATE(2019,3,1),CPI_Data[[#This Row],[Date]]&lt;DATE(2020,3,1)),"Pre-COVID",IF(AND(CPI_Data[[#This Row],[Date]]&gt;=DATE(2020,3,1),CPI_Data[[#This Row],[Date]]&lt;DATE(2021,3,1)),"Post-COVID",""))</f>
        <v/>
      </c>
    </row>
    <row r="362" spans="1:32" x14ac:dyDescent="0.25">
      <c r="A362" t="s">
        <v>30</v>
      </c>
      <c r="B362">
        <v>2023</v>
      </c>
      <c r="C362" s="1" t="s">
        <v>35</v>
      </c>
      <c r="D362" s="2">
        <f>DATE(CPI_Data[[#This Row],[Year]],MATCH(CPI_Data[[#This Row],[Month]],{"January","February","March","April","May","June","July","August","September","October","November","December"},0),1)</f>
        <v>44958</v>
      </c>
      <c r="E362">
        <v>174.2</v>
      </c>
      <c r="F362">
        <v>205.2</v>
      </c>
      <c r="G362">
        <v>173.9</v>
      </c>
      <c r="H362">
        <v>177</v>
      </c>
      <c r="I362">
        <v>183.4</v>
      </c>
      <c r="J362">
        <v>167.2</v>
      </c>
      <c r="K362">
        <v>140.9</v>
      </c>
      <c r="L362">
        <v>170.4</v>
      </c>
      <c r="M362">
        <v>119.1</v>
      </c>
      <c r="N362">
        <v>212.1</v>
      </c>
      <c r="O362">
        <v>177.6</v>
      </c>
      <c r="P362">
        <v>189.9</v>
      </c>
      <c r="Q362">
        <v>174.8</v>
      </c>
      <c r="R362">
        <v>198.3</v>
      </c>
      <c r="S362">
        <v>190</v>
      </c>
      <c r="T362">
        <v>187</v>
      </c>
      <c r="U362">
        <v>189.6</v>
      </c>
      <c r="V362" t="s">
        <v>32</v>
      </c>
      <c r="W362">
        <v>181.6</v>
      </c>
      <c r="X362">
        <v>178.6</v>
      </c>
      <c r="Y362">
        <v>186.6</v>
      </c>
      <c r="Z362">
        <v>169</v>
      </c>
      <c r="AA362">
        <v>172.8</v>
      </c>
      <c r="AB362">
        <v>178.5</v>
      </c>
      <c r="AC362">
        <v>180.7</v>
      </c>
      <c r="AD362">
        <v>177.9</v>
      </c>
      <c r="AE362">
        <v>178</v>
      </c>
      <c r="AF362" t="str">
        <f>IF(AND(CPI_Data[[#This Row],[Date]]&gt;=DATE(2019,3,1),CPI_Data[[#This Row],[Date]]&lt;DATE(2020,3,1)),"Pre-COVID",IF(AND(CPI_Data[[#This Row],[Date]]&gt;=DATE(2020,3,1),CPI_Data[[#This Row],[Date]]&lt;DATE(2021,3,1)),"Post-COVID",""))</f>
        <v/>
      </c>
    </row>
    <row r="363" spans="1:32" x14ac:dyDescent="0.25">
      <c r="A363" t="s">
        <v>33</v>
      </c>
      <c r="B363">
        <v>2023</v>
      </c>
      <c r="C363" s="1" t="s">
        <v>35</v>
      </c>
      <c r="D363" s="2">
        <f>DATE(CPI_Data[[#This Row],[Year]],MATCH(CPI_Data[[#This Row],[Month]],{"January","February","March","April","May","June","July","August","September","October","November","December"},0),1)</f>
        <v>44958</v>
      </c>
      <c r="E363">
        <v>174.7</v>
      </c>
      <c r="F363">
        <v>212.2</v>
      </c>
      <c r="G363">
        <v>177.2</v>
      </c>
      <c r="H363">
        <v>177.9</v>
      </c>
      <c r="I363">
        <v>172.2</v>
      </c>
      <c r="J363">
        <v>172.1</v>
      </c>
      <c r="K363">
        <v>175.8</v>
      </c>
      <c r="L363">
        <v>172.2</v>
      </c>
      <c r="M363">
        <v>121.9</v>
      </c>
      <c r="N363">
        <v>204.8</v>
      </c>
      <c r="O363">
        <v>164.9</v>
      </c>
      <c r="P363">
        <v>196.6</v>
      </c>
      <c r="Q363">
        <v>180.7</v>
      </c>
      <c r="R363">
        <v>202.7</v>
      </c>
      <c r="S363">
        <v>180.3</v>
      </c>
      <c r="T363">
        <v>167</v>
      </c>
      <c r="U363">
        <v>178.2</v>
      </c>
      <c r="V363">
        <v>173.5</v>
      </c>
      <c r="W363">
        <v>182.8</v>
      </c>
      <c r="X363">
        <v>169.2</v>
      </c>
      <c r="Y363">
        <v>180.8</v>
      </c>
      <c r="Z363">
        <v>159.80000000000001</v>
      </c>
      <c r="AA363">
        <v>168.4</v>
      </c>
      <c r="AB363">
        <v>172.5</v>
      </c>
      <c r="AC363">
        <v>181.4</v>
      </c>
      <c r="AD363">
        <v>170</v>
      </c>
      <c r="AE363">
        <v>176.3</v>
      </c>
      <c r="AF363" t="str">
        <f>IF(AND(CPI_Data[[#This Row],[Date]]&gt;=DATE(2019,3,1),CPI_Data[[#This Row],[Date]]&lt;DATE(2020,3,1)),"Pre-COVID",IF(AND(CPI_Data[[#This Row],[Date]]&gt;=DATE(2020,3,1),CPI_Data[[#This Row],[Date]]&lt;DATE(2021,3,1)),"Post-COVID",""))</f>
        <v/>
      </c>
    </row>
    <row r="364" spans="1:32" x14ac:dyDescent="0.25">
      <c r="A364" t="s">
        <v>34</v>
      </c>
      <c r="B364">
        <v>2023</v>
      </c>
      <c r="C364" s="1" t="s">
        <v>35</v>
      </c>
      <c r="D364" s="2">
        <f>DATE(CPI_Data[[#This Row],[Year]],MATCH(CPI_Data[[#This Row],[Month]],{"January","February","March","April","May","June","July","August","September","October","November","December"},0),1)</f>
        <v>44958</v>
      </c>
      <c r="E364">
        <v>174.4</v>
      </c>
      <c r="F364">
        <v>207.7</v>
      </c>
      <c r="G364">
        <v>175.2</v>
      </c>
      <c r="H364">
        <v>177.3</v>
      </c>
      <c r="I364">
        <v>179.3</v>
      </c>
      <c r="J364">
        <v>169.5</v>
      </c>
      <c r="K364">
        <v>152.69999999999999</v>
      </c>
      <c r="L364">
        <v>171</v>
      </c>
      <c r="M364">
        <v>120</v>
      </c>
      <c r="N364">
        <v>209.7</v>
      </c>
      <c r="O364">
        <v>172.3</v>
      </c>
      <c r="P364">
        <v>193</v>
      </c>
      <c r="Q364">
        <v>177</v>
      </c>
      <c r="R364">
        <v>199.5</v>
      </c>
      <c r="S364">
        <v>186.2</v>
      </c>
      <c r="T364">
        <v>178.7</v>
      </c>
      <c r="U364">
        <v>185.1</v>
      </c>
      <c r="V364">
        <v>173.5</v>
      </c>
      <c r="W364">
        <v>182.1</v>
      </c>
      <c r="X364">
        <v>174.2</v>
      </c>
      <c r="Y364">
        <v>184.4</v>
      </c>
      <c r="Z364">
        <v>164.2</v>
      </c>
      <c r="AA364">
        <v>170.3</v>
      </c>
      <c r="AB364">
        <v>175</v>
      </c>
      <c r="AC364">
        <v>181</v>
      </c>
      <c r="AD364">
        <v>174.1</v>
      </c>
      <c r="AE364">
        <v>177.2</v>
      </c>
      <c r="AF364" t="str">
        <f>IF(AND(CPI_Data[[#This Row],[Date]]&gt;=DATE(2019,3,1),CPI_Data[[#This Row],[Date]]&lt;DATE(2020,3,1)),"Pre-COVID",IF(AND(CPI_Data[[#This Row],[Date]]&gt;=DATE(2020,3,1),CPI_Data[[#This Row],[Date]]&lt;DATE(2021,3,1)),"Post-COVID",""))</f>
        <v/>
      </c>
    </row>
    <row r="365" spans="1:32" x14ac:dyDescent="0.25">
      <c r="A365" t="s">
        <v>30</v>
      </c>
      <c r="B365">
        <v>2023</v>
      </c>
      <c r="C365" s="1" t="s">
        <v>36</v>
      </c>
      <c r="D365" s="2">
        <f>DATE(CPI_Data[[#This Row],[Year]],MATCH(CPI_Data[[#This Row],[Month]],{"January","February","March","April","May","June","July","August","September","October","November","December"},0),1)</f>
        <v>44986</v>
      </c>
      <c r="E365">
        <v>174.3</v>
      </c>
      <c r="F365">
        <v>205.2</v>
      </c>
      <c r="G365">
        <v>173.9</v>
      </c>
      <c r="H365">
        <v>177</v>
      </c>
      <c r="I365">
        <v>183.3</v>
      </c>
      <c r="J365">
        <v>167.2</v>
      </c>
      <c r="K365">
        <v>140.9</v>
      </c>
      <c r="L365">
        <v>170.5</v>
      </c>
      <c r="M365">
        <v>119.1</v>
      </c>
      <c r="N365">
        <v>212.1</v>
      </c>
      <c r="O365">
        <v>177.6</v>
      </c>
      <c r="P365">
        <v>189.9</v>
      </c>
      <c r="Q365">
        <v>174.8</v>
      </c>
      <c r="R365">
        <v>198.4</v>
      </c>
      <c r="S365">
        <v>190</v>
      </c>
      <c r="T365">
        <v>187</v>
      </c>
      <c r="U365">
        <v>189.6</v>
      </c>
      <c r="V365" t="s">
        <v>32</v>
      </c>
      <c r="W365">
        <v>181.4</v>
      </c>
      <c r="X365">
        <v>178.6</v>
      </c>
      <c r="Y365">
        <v>186.6</v>
      </c>
      <c r="Z365">
        <v>169</v>
      </c>
      <c r="AA365">
        <v>172.8</v>
      </c>
      <c r="AB365">
        <v>178.5</v>
      </c>
      <c r="AC365">
        <v>180.7</v>
      </c>
      <c r="AD365">
        <v>177.9</v>
      </c>
      <c r="AE365">
        <v>178</v>
      </c>
      <c r="AF365" t="str">
        <f>IF(AND(CPI_Data[[#This Row],[Date]]&gt;=DATE(2019,3,1),CPI_Data[[#This Row],[Date]]&lt;DATE(2020,3,1)),"Pre-COVID",IF(AND(CPI_Data[[#This Row],[Date]]&gt;=DATE(2020,3,1),CPI_Data[[#This Row],[Date]]&lt;DATE(2021,3,1)),"Post-COVID",""))</f>
        <v/>
      </c>
    </row>
    <row r="366" spans="1:32" x14ac:dyDescent="0.25">
      <c r="A366" t="s">
        <v>33</v>
      </c>
      <c r="B366">
        <v>2023</v>
      </c>
      <c r="C366" s="1" t="s">
        <v>36</v>
      </c>
      <c r="D366" s="2">
        <f>DATE(CPI_Data[[#This Row],[Year]],MATCH(CPI_Data[[#This Row],[Month]],{"January","February","March","April","May","June","July","August","September","October","November","December"},0),1)</f>
        <v>44986</v>
      </c>
      <c r="E366">
        <v>174.7</v>
      </c>
      <c r="F366">
        <v>212.2</v>
      </c>
      <c r="G366">
        <v>177.2</v>
      </c>
      <c r="H366">
        <v>177.9</v>
      </c>
      <c r="I366">
        <v>172.2</v>
      </c>
      <c r="J366">
        <v>172.1</v>
      </c>
      <c r="K366">
        <v>175.9</v>
      </c>
      <c r="L366">
        <v>172.2</v>
      </c>
      <c r="M366">
        <v>121.9</v>
      </c>
      <c r="N366">
        <v>204.8</v>
      </c>
      <c r="O366">
        <v>164.9</v>
      </c>
      <c r="P366">
        <v>196.6</v>
      </c>
      <c r="Q366">
        <v>180.8</v>
      </c>
      <c r="R366">
        <v>202.7</v>
      </c>
      <c r="S366">
        <v>180.2</v>
      </c>
      <c r="T366">
        <v>167</v>
      </c>
      <c r="U366">
        <v>178.2</v>
      </c>
      <c r="V366">
        <v>173.5</v>
      </c>
      <c r="W366">
        <v>182.6</v>
      </c>
      <c r="X366">
        <v>169.2</v>
      </c>
      <c r="Y366">
        <v>180.8</v>
      </c>
      <c r="Z366">
        <v>159.80000000000001</v>
      </c>
      <c r="AA366">
        <v>168.4</v>
      </c>
      <c r="AB366">
        <v>172.5</v>
      </c>
      <c r="AC366">
        <v>181.5</v>
      </c>
      <c r="AD366">
        <v>170</v>
      </c>
      <c r="AE366">
        <v>176.3</v>
      </c>
      <c r="AF366" t="str">
        <f>IF(AND(CPI_Data[[#This Row],[Date]]&gt;=DATE(2019,3,1),CPI_Data[[#This Row],[Date]]&lt;DATE(2020,3,1)),"Pre-COVID",IF(AND(CPI_Data[[#This Row],[Date]]&gt;=DATE(2020,3,1),CPI_Data[[#This Row],[Date]]&lt;DATE(2021,3,1)),"Post-COVID",""))</f>
        <v/>
      </c>
    </row>
    <row r="367" spans="1:32" x14ac:dyDescent="0.25">
      <c r="A367" t="s">
        <v>34</v>
      </c>
      <c r="B367">
        <v>2023</v>
      </c>
      <c r="C367" s="1" t="s">
        <v>36</v>
      </c>
      <c r="D367" s="2">
        <f>DATE(CPI_Data[[#This Row],[Year]],MATCH(CPI_Data[[#This Row],[Month]],{"January","February","March","April","May","June","July","August","September","October","November","December"},0),1)</f>
        <v>44986</v>
      </c>
      <c r="E367">
        <v>174.4</v>
      </c>
      <c r="F367">
        <v>207.7</v>
      </c>
      <c r="G367">
        <v>175.2</v>
      </c>
      <c r="H367">
        <v>177.3</v>
      </c>
      <c r="I367">
        <v>179.2</v>
      </c>
      <c r="J367">
        <v>169.5</v>
      </c>
      <c r="K367">
        <v>152.80000000000001</v>
      </c>
      <c r="L367">
        <v>171.1</v>
      </c>
      <c r="M367">
        <v>120</v>
      </c>
      <c r="N367">
        <v>209.7</v>
      </c>
      <c r="O367">
        <v>172.3</v>
      </c>
      <c r="P367">
        <v>193</v>
      </c>
      <c r="Q367">
        <v>177</v>
      </c>
      <c r="R367">
        <v>199.5</v>
      </c>
      <c r="S367">
        <v>186.1</v>
      </c>
      <c r="T367">
        <v>178.7</v>
      </c>
      <c r="U367">
        <v>185.1</v>
      </c>
      <c r="V367">
        <v>173.5</v>
      </c>
      <c r="W367">
        <v>181.9</v>
      </c>
      <c r="X367">
        <v>174.2</v>
      </c>
      <c r="Y367">
        <v>184.4</v>
      </c>
      <c r="Z367">
        <v>164.2</v>
      </c>
      <c r="AA367">
        <v>170.3</v>
      </c>
      <c r="AB367">
        <v>175</v>
      </c>
      <c r="AC367">
        <v>181</v>
      </c>
      <c r="AD367">
        <v>174.1</v>
      </c>
      <c r="AE367">
        <v>177.2</v>
      </c>
      <c r="AF367" t="str">
        <f>IF(AND(CPI_Data[[#This Row],[Date]]&gt;=DATE(2019,3,1),CPI_Data[[#This Row],[Date]]&lt;DATE(2020,3,1)),"Pre-COVID",IF(AND(CPI_Data[[#This Row],[Date]]&gt;=DATE(2020,3,1),CPI_Data[[#This Row],[Date]]&lt;DATE(2021,3,1)),"Post-COVID",""))</f>
        <v/>
      </c>
    </row>
    <row r="368" spans="1:32" x14ac:dyDescent="0.25">
      <c r="A368" t="s">
        <v>30</v>
      </c>
      <c r="B368">
        <v>2023</v>
      </c>
      <c r="C368" s="1" t="s">
        <v>37</v>
      </c>
      <c r="D368" s="2">
        <f>DATE(CPI_Data[[#This Row],[Year]],MATCH(CPI_Data[[#This Row],[Month]],{"January","February","March","April","May","June","July","August","September","October","November","December"},0),1)</f>
        <v>45017</v>
      </c>
      <c r="E368">
        <v>173.3</v>
      </c>
      <c r="F368">
        <v>206.9</v>
      </c>
      <c r="G368">
        <v>167.9</v>
      </c>
      <c r="H368">
        <v>178.2</v>
      </c>
      <c r="I368">
        <v>178.5</v>
      </c>
      <c r="J368">
        <v>173.7</v>
      </c>
      <c r="K368">
        <v>142.80000000000001</v>
      </c>
      <c r="L368">
        <v>172.8</v>
      </c>
      <c r="M368">
        <v>120.4</v>
      </c>
      <c r="N368">
        <v>215.5</v>
      </c>
      <c r="O368">
        <v>178.2</v>
      </c>
      <c r="P368">
        <v>190.5</v>
      </c>
      <c r="Q368">
        <v>175.5</v>
      </c>
      <c r="R368">
        <v>199.5</v>
      </c>
      <c r="S368">
        <v>190.7</v>
      </c>
      <c r="T368">
        <v>187.3</v>
      </c>
      <c r="U368">
        <v>190.2</v>
      </c>
      <c r="V368" t="s">
        <v>48</v>
      </c>
      <c r="W368">
        <v>181.5</v>
      </c>
      <c r="X368">
        <v>179.1</v>
      </c>
      <c r="Y368">
        <v>187.2</v>
      </c>
      <c r="Z368">
        <v>169.4</v>
      </c>
      <c r="AA368">
        <v>173.2</v>
      </c>
      <c r="AB368">
        <v>179.4</v>
      </c>
      <c r="AC368">
        <v>183.8</v>
      </c>
      <c r="AD368">
        <v>178.9</v>
      </c>
      <c r="AE368">
        <v>178.8</v>
      </c>
      <c r="AF368" t="str">
        <f>IF(AND(CPI_Data[[#This Row],[Date]]&gt;=DATE(2019,3,1),CPI_Data[[#This Row],[Date]]&lt;DATE(2020,3,1)),"Pre-COVID",IF(AND(CPI_Data[[#This Row],[Date]]&gt;=DATE(2020,3,1),CPI_Data[[#This Row],[Date]]&lt;DATE(2021,3,1)),"Post-COVID",""))</f>
        <v/>
      </c>
    </row>
    <row r="369" spans="1:32" x14ac:dyDescent="0.25">
      <c r="A369" t="s">
        <v>33</v>
      </c>
      <c r="B369">
        <v>2023</v>
      </c>
      <c r="C369" s="1" t="s">
        <v>37</v>
      </c>
      <c r="D369" s="2">
        <f>DATE(CPI_Data[[#This Row],[Year]],MATCH(CPI_Data[[#This Row],[Month]],{"January","February","March","April","May","June","July","August","September","October","November","December"},0),1)</f>
        <v>45017</v>
      </c>
      <c r="E369">
        <v>174.8</v>
      </c>
      <c r="F369">
        <v>213.7</v>
      </c>
      <c r="G369">
        <v>172.4</v>
      </c>
      <c r="H369">
        <v>178.8</v>
      </c>
      <c r="I369">
        <v>168.7</v>
      </c>
      <c r="J369">
        <v>179.2</v>
      </c>
      <c r="K369">
        <v>179.9</v>
      </c>
      <c r="L369">
        <v>174.7</v>
      </c>
      <c r="M369">
        <v>123.1</v>
      </c>
      <c r="N369">
        <v>207.8</v>
      </c>
      <c r="O369">
        <v>165.5</v>
      </c>
      <c r="P369">
        <v>197</v>
      </c>
      <c r="Q369">
        <v>182.1</v>
      </c>
      <c r="R369">
        <v>203.5</v>
      </c>
      <c r="S369">
        <v>181</v>
      </c>
      <c r="T369">
        <v>167.7</v>
      </c>
      <c r="U369">
        <v>178.9</v>
      </c>
      <c r="V369">
        <v>175.2</v>
      </c>
      <c r="W369">
        <v>182.1</v>
      </c>
      <c r="X369">
        <v>169.6</v>
      </c>
      <c r="Y369">
        <v>181.5</v>
      </c>
      <c r="Z369">
        <v>160.1</v>
      </c>
      <c r="AA369">
        <v>168.8</v>
      </c>
      <c r="AB369">
        <v>174.2</v>
      </c>
      <c r="AC369">
        <v>184.4</v>
      </c>
      <c r="AD369">
        <v>170.9</v>
      </c>
      <c r="AE369">
        <v>177.4</v>
      </c>
      <c r="AF369" t="str">
        <f>IF(AND(CPI_Data[[#This Row],[Date]]&gt;=DATE(2019,3,1),CPI_Data[[#This Row],[Date]]&lt;DATE(2020,3,1)),"Pre-COVID",IF(AND(CPI_Data[[#This Row],[Date]]&gt;=DATE(2020,3,1),CPI_Data[[#This Row],[Date]]&lt;DATE(2021,3,1)),"Post-COVID",""))</f>
        <v/>
      </c>
    </row>
    <row r="370" spans="1:32" x14ac:dyDescent="0.25">
      <c r="A370" t="s">
        <v>34</v>
      </c>
      <c r="B370">
        <v>2023</v>
      </c>
      <c r="C370" s="1" t="s">
        <v>37</v>
      </c>
      <c r="D370" s="2">
        <f>DATE(CPI_Data[[#This Row],[Year]],MATCH(CPI_Data[[#This Row],[Month]],{"January","February","March","April","May","June","July","August","September","October","November","December"},0),1)</f>
        <v>45017</v>
      </c>
      <c r="E370">
        <v>173.8</v>
      </c>
      <c r="F370">
        <v>209.3</v>
      </c>
      <c r="G370">
        <v>169.6</v>
      </c>
      <c r="H370">
        <v>178.4</v>
      </c>
      <c r="I370">
        <v>174.9</v>
      </c>
      <c r="J370">
        <v>176.3</v>
      </c>
      <c r="K370">
        <v>155.4</v>
      </c>
      <c r="L370">
        <v>173.4</v>
      </c>
      <c r="M370">
        <v>121.3</v>
      </c>
      <c r="N370">
        <v>212.9</v>
      </c>
      <c r="O370">
        <v>172.9</v>
      </c>
      <c r="P370">
        <v>193.5</v>
      </c>
      <c r="Q370">
        <v>177.9</v>
      </c>
      <c r="R370">
        <v>200.6</v>
      </c>
      <c r="S370">
        <v>186.9</v>
      </c>
      <c r="T370">
        <v>179.2</v>
      </c>
      <c r="U370">
        <v>185.7</v>
      </c>
      <c r="V370">
        <v>175.2</v>
      </c>
      <c r="W370">
        <v>181.7</v>
      </c>
      <c r="X370">
        <v>174.6</v>
      </c>
      <c r="Y370">
        <v>185</v>
      </c>
      <c r="Z370">
        <v>164.5</v>
      </c>
      <c r="AA370">
        <v>170.7</v>
      </c>
      <c r="AB370">
        <v>176.4</v>
      </c>
      <c r="AC370">
        <v>184</v>
      </c>
      <c r="AD370">
        <v>175</v>
      </c>
      <c r="AE370">
        <v>178.1</v>
      </c>
      <c r="AF370" t="str">
        <f>IF(AND(CPI_Data[[#This Row],[Date]]&gt;=DATE(2019,3,1),CPI_Data[[#This Row],[Date]]&lt;DATE(2020,3,1)),"Pre-COVID",IF(AND(CPI_Data[[#This Row],[Date]]&gt;=DATE(2020,3,1),CPI_Data[[#This Row],[Date]]&lt;DATE(2021,3,1)),"Post-COVID",""))</f>
        <v/>
      </c>
    </row>
    <row r="371" spans="1:32" x14ac:dyDescent="0.25">
      <c r="A371" t="s">
        <v>30</v>
      </c>
      <c r="B371">
        <v>2023</v>
      </c>
      <c r="C371" s="1" t="s">
        <v>38</v>
      </c>
      <c r="D371" s="2">
        <f>DATE(CPI_Data[[#This Row],[Year]],MATCH(CPI_Data[[#This Row],[Month]],{"January","February","March","April","May","June","July","August","September","October","November","December"},0),1)</f>
        <v>45047</v>
      </c>
      <c r="E371">
        <v>173.2</v>
      </c>
      <c r="F371">
        <v>211.5</v>
      </c>
      <c r="G371">
        <v>171</v>
      </c>
      <c r="H371">
        <v>179.6</v>
      </c>
      <c r="I371">
        <v>173.3</v>
      </c>
      <c r="J371">
        <v>169</v>
      </c>
      <c r="K371">
        <v>148.69999999999999</v>
      </c>
      <c r="L371">
        <v>174.9</v>
      </c>
      <c r="M371">
        <v>121.9</v>
      </c>
      <c r="N371">
        <v>221</v>
      </c>
      <c r="O371">
        <v>178.7</v>
      </c>
      <c r="P371">
        <v>191.1</v>
      </c>
      <c r="Q371">
        <v>176.8</v>
      </c>
      <c r="R371">
        <v>199.9</v>
      </c>
      <c r="S371">
        <v>191.2</v>
      </c>
      <c r="T371">
        <v>187.9</v>
      </c>
      <c r="U371">
        <v>190.8</v>
      </c>
      <c r="V371" t="s">
        <v>48</v>
      </c>
      <c r="W371">
        <v>182.5</v>
      </c>
      <c r="X371">
        <v>179.8</v>
      </c>
      <c r="Y371">
        <v>187.8</v>
      </c>
      <c r="Z371">
        <v>169.7</v>
      </c>
      <c r="AA371">
        <v>173.8</v>
      </c>
      <c r="AB371">
        <v>180.3</v>
      </c>
      <c r="AC371">
        <v>184.9</v>
      </c>
      <c r="AD371">
        <v>179.5</v>
      </c>
      <c r="AE371">
        <v>179.8</v>
      </c>
      <c r="AF371" t="str">
        <f>IF(AND(CPI_Data[[#This Row],[Date]]&gt;=DATE(2019,3,1),CPI_Data[[#This Row],[Date]]&lt;DATE(2020,3,1)),"Pre-COVID",IF(AND(CPI_Data[[#This Row],[Date]]&gt;=DATE(2020,3,1),CPI_Data[[#This Row],[Date]]&lt;DATE(2021,3,1)),"Post-COVID",""))</f>
        <v/>
      </c>
    </row>
    <row r="372" spans="1:32" x14ac:dyDescent="0.25">
      <c r="A372" t="s">
        <v>33</v>
      </c>
      <c r="B372">
        <v>2023</v>
      </c>
      <c r="C372" s="1" t="s">
        <v>38</v>
      </c>
      <c r="D372" s="2">
        <f>DATE(CPI_Data[[#This Row],[Year]],MATCH(CPI_Data[[#This Row],[Month]],{"January","February","March","April","May","June","July","August","September","October","November","December"},0),1)</f>
        <v>45047</v>
      </c>
      <c r="E372">
        <v>174.7</v>
      </c>
      <c r="F372">
        <v>219.4</v>
      </c>
      <c r="G372">
        <v>176.7</v>
      </c>
      <c r="H372">
        <v>179.4</v>
      </c>
      <c r="I372">
        <v>164.4</v>
      </c>
      <c r="J372">
        <v>175.8</v>
      </c>
      <c r="K372">
        <v>185</v>
      </c>
      <c r="L372">
        <v>176.9</v>
      </c>
      <c r="M372">
        <v>124.2</v>
      </c>
      <c r="N372">
        <v>211.9</v>
      </c>
      <c r="O372">
        <v>165.9</v>
      </c>
      <c r="P372">
        <v>197.7</v>
      </c>
      <c r="Q372">
        <v>183.1</v>
      </c>
      <c r="R372">
        <v>204.2</v>
      </c>
      <c r="S372">
        <v>181.3</v>
      </c>
      <c r="T372">
        <v>168.1</v>
      </c>
      <c r="U372">
        <v>179.3</v>
      </c>
      <c r="V372">
        <v>175.6</v>
      </c>
      <c r="W372">
        <v>183.4</v>
      </c>
      <c r="X372">
        <v>170.1</v>
      </c>
      <c r="Y372">
        <v>182.2</v>
      </c>
      <c r="Z372">
        <v>160.4</v>
      </c>
      <c r="AA372">
        <v>169.2</v>
      </c>
      <c r="AB372">
        <v>174.8</v>
      </c>
      <c r="AC372">
        <v>185.6</v>
      </c>
      <c r="AD372">
        <v>171.6</v>
      </c>
      <c r="AE372">
        <v>178.2</v>
      </c>
      <c r="AF372" t="str">
        <f>IF(AND(CPI_Data[[#This Row],[Date]]&gt;=DATE(2019,3,1),CPI_Data[[#This Row],[Date]]&lt;DATE(2020,3,1)),"Pre-COVID",IF(AND(CPI_Data[[#This Row],[Date]]&gt;=DATE(2020,3,1),CPI_Data[[#This Row],[Date]]&lt;DATE(2021,3,1)),"Post-COVID",""))</f>
        <v/>
      </c>
    </row>
    <row r="373" spans="1:32" x14ac:dyDescent="0.25">
      <c r="A373" t="s">
        <v>34</v>
      </c>
      <c r="B373">
        <v>2023</v>
      </c>
      <c r="C373" s="1" t="s">
        <v>38</v>
      </c>
      <c r="D373" s="2">
        <f>DATE(CPI_Data[[#This Row],[Year]],MATCH(CPI_Data[[#This Row],[Month]],{"January","February","March","April","May","June","July","August","September","October","November","December"},0),1)</f>
        <v>45047</v>
      </c>
      <c r="E373">
        <v>173.7</v>
      </c>
      <c r="F373">
        <v>214.3</v>
      </c>
      <c r="G373">
        <v>173.2</v>
      </c>
      <c r="H373">
        <v>179.5</v>
      </c>
      <c r="I373">
        <v>170</v>
      </c>
      <c r="J373">
        <v>172.2</v>
      </c>
      <c r="K373">
        <v>161</v>
      </c>
      <c r="L373">
        <v>175.6</v>
      </c>
      <c r="M373">
        <v>122.7</v>
      </c>
      <c r="N373">
        <v>218</v>
      </c>
      <c r="O373">
        <v>173.4</v>
      </c>
      <c r="P373">
        <v>194.2</v>
      </c>
      <c r="Q373">
        <v>179.1</v>
      </c>
      <c r="R373">
        <v>201</v>
      </c>
      <c r="S373">
        <v>187.3</v>
      </c>
      <c r="T373">
        <v>179.7</v>
      </c>
      <c r="U373">
        <v>186.2</v>
      </c>
      <c r="V373">
        <v>175.6</v>
      </c>
      <c r="W373">
        <v>182.8</v>
      </c>
      <c r="X373">
        <v>175.2</v>
      </c>
      <c r="Y373">
        <v>185.7</v>
      </c>
      <c r="Z373">
        <v>164.8</v>
      </c>
      <c r="AA373">
        <v>171.2</v>
      </c>
      <c r="AB373">
        <v>177.1</v>
      </c>
      <c r="AC373">
        <v>185.2</v>
      </c>
      <c r="AD373">
        <v>175.7</v>
      </c>
      <c r="AE373">
        <v>179.1</v>
      </c>
      <c r="AF373" t="str">
        <f>IF(AND(CPI_Data[[#This Row],[Date]]&gt;=DATE(2019,3,1),CPI_Data[[#This Row],[Date]]&lt;DATE(2020,3,1)),"Pre-COVID",IF(AND(CPI_Data[[#This Row],[Date]]&gt;=DATE(2020,3,1),CPI_Data[[#This Row],[Date]]&lt;DATE(2021,3,1)),"Post-COVID",""))</f>
        <v/>
      </c>
    </row>
  </sheetData>
  <pageMargins left="0.7" right="0.7" top="0.75" bottom="0.75" header="0.3" footer="0.3"/>
  <ignoredErrors>
    <ignoredError sqref="D32" calculatedColumn="1"/>
  </ignoredErrors>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677534-40AA-42B1-AE9A-23DBA2FB5898}">
  <dimension ref="A1:K19"/>
  <sheetViews>
    <sheetView workbookViewId="0">
      <selection activeCell="O9" sqref="O9"/>
    </sheetView>
  </sheetViews>
  <sheetFormatPr defaultRowHeight="15" x14ac:dyDescent="0.25"/>
  <cols>
    <col min="1" max="1" width="22.7109375" customWidth="1"/>
    <col min="2" max="2" width="17" customWidth="1"/>
    <col min="3" max="3" width="14.85546875" customWidth="1"/>
  </cols>
  <sheetData>
    <row r="1" spans="1:11" ht="15.75" thickBot="1" x14ac:dyDescent="0.3"/>
    <row r="2" spans="1:11" x14ac:dyDescent="0.25">
      <c r="A2" s="86" t="s">
        <v>127</v>
      </c>
      <c r="B2" s="87"/>
      <c r="C2" s="87"/>
      <c r="D2" s="87"/>
      <c r="E2" s="87"/>
      <c r="F2" s="87"/>
      <c r="G2" s="87"/>
      <c r="H2" s="87"/>
      <c r="I2" s="87"/>
      <c r="J2" s="87"/>
      <c r="K2" s="88"/>
    </row>
    <row r="3" spans="1:11" ht="15.75" thickBot="1" x14ac:dyDescent="0.3">
      <c r="A3" s="89"/>
      <c r="B3" s="90"/>
      <c r="C3" s="90"/>
      <c r="D3" s="90"/>
      <c r="E3" s="90"/>
      <c r="F3" s="90"/>
      <c r="G3" s="90"/>
      <c r="H3" s="90"/>
      <c r="I3" s="90"/>
      <c r="J3" s="90"/>
      <c r="K3" s="91"/>
    </row>
    <row r="4" spans="1:11" ht="15.75" thickBot="1" x14ac:dyDescent="0.3"/>
    <row r="5" spans="1:11" x14ac:dyDescent="0.25">
      <c r="A5" s="10" t="s">
        <v>50</v>
      </c>
      <c r="B5" s="11" t="s">
        <v>51</v>
      </c>
      <c r="C5" s="12" t="s">
        <v>52</v>
      </c>
    </row>
    <row r="6" spans="1:11" ht="15.75" thickBot="1" x14ac:dyDescent="0.3">
      <c r="A6" s="13" t="s">
        <v>53</v>
      </c>
      <c r="B6" s="14" t="s">
        <v>54</v>
      </c>
      <c r="C6" s="15" t="s">
        <v>55</v>
      </c>
    </row>
    <row r="7" spans="1:11" x14ac:dyDescent="0.25">
      <c r="A7" s="8" t="s">
        <v>56</v>
      </c>
      <c r="B7" s="8" cm="1">
        <f t="array" ref="B7">_xlfn.XLOOKUP(1,(CPI_Data[Year]=2023)*(CPI_Data[Month]="April")*(CPI_Data[Sector]="Rural+Urban"),CPI_Data[Food and beverages])</f>
        <v>177.9</v>
      </c>
      <c r="C7" s="9">
        <f>B7/$B$19</f>
        <v>8.2694184911448892E-2</v>
      </c>
    </row>
    <row r="8" spans="1:11" ht="52.5" customHeight="1" x14ac:dyDescent="0.25">
      <c r="A8" s="6" t="s">
        <v>57</v>
      </c>
      <c r="B8" s="6" cm="1">
        <f t="array" ref="B8">_xlfn.XLOOKUP(1,(CPI_Data[Year]=2023)*(CPI_Data[Month]="April")*(CPI_Data[Sector]="Rural+Urban"),CPI_Data[Pan, tobacco and intoxicants])</f>
        <v>200.6</v>
      </c>
      <c r="C8" s="7">
        <f t="shared" ref="C8:C18" si="0">B8/$B$19</f>
        <v>9.3245944312741122E-2</v>
      </c>
    </row>
    <row r="9" spans="1:11" ht="32.25" customHeight="1" x14ac:dyDescent="0.25">
      <c r="A9" s="6" t="s">
        <v>58</v>
      </c>
      <c r="B9" s="6" cm="1">
        <f t="array" ref="B9">_xlfn.XLOOKUP(1,(CPI_Data[Year]=2023)*(CPI_Data[Month]="April")*(CPI_Data[Sector]="Rural+Urban"),CPI_Data[Clothing and footwear])</f>
        <v>185.7</v>
      </c>
      <c r="C9" s="7">
        <f t="shared" si="0"/>
        <v>8.6319899595593344E-2</v>
      </c>
    </row>
    <row r="10" spans="1:11" x14ac:dyDescent="0.25">
      <c r="A10" s="6" t="s">
        <v>20</v>
      </c>
      <c r="B10" s="6" cm="1">
        <f t="array" ref="B10">_xlfn.XLOOKUP(1,(CPI_Data[Year]=2023)*(CPI_Data[Month]="April")*(CPI_Data[Sector]="Rural+Urban"),CPI_Data[Housing])</f>
        <v>175.2</v>
      </c>
      <c r="C10" s="7">
        <f t="shared" si="0"/>
        <v>8.1439129828475787E-2</v>
      </c>
    </row>
    <row r="11" spans="1:11" x14ac:dyDescent="0.25">
      <c r="A11" s="6" t="s">
        <v>59</v>
      </c>
      <c r="B11" s="6" cm="1">
        <f t="array" ref="B11">_xlfn.XLOOKUP(1,(CPI_Data[Year]=2023)*(CPI_Data[Month]="April")*(CPI_Data[Sector]="Rural+Urban"),CPI_Data[Fuel and light])</f>
        <v>181.7</v>
      </c>
      <c r="C11" s="7">
        <f t="shared" si="0"/>
        <v>8.4460558731929522E-2</v>
      </c>
    </row>
    <row r="12" spans="1:11" x14ac:dyDescent="0.25">
      <c r="A12" s="6" t="s">
        <v>60</v>
      </c>
      <c r="B12" s="6" cm="1">
        <f t="array" ref="B12">_xlfn.XLOOKUP(1,(CPI_Data[Year]=2023)*(CPI_Data[Month]="April")*(CPI_Data[Sector]="Rural+Urban"),CPI_Data[Household goods and services])</f>
        <v>174.6</v>
      </c>
      <c r="C12" s="7">
        <f t="shared" si="0"/>
        <v>8.1160228698926223E-2</v>
      </c>
    </row>
    <row r="13" spans="1:11" x14ac:dyDescent="0.25">
      <c r="A13" s="6" t="s">
        <v>61</v>
      </c>
      <c r="B13" s="6" cm="1">
        <f t="array" ref="B13">_xlfn.XLOOKUP(1,(CPI_Data[Year]=2023)*(CPI_Data[Month]="April")*(CPI_Data[Sector]="Rural+Urban"),CPI_Data[Health])</f>
        <v>185</v>
      </c>
      <c r="C13" s="7">
        <f t="shared" si="0"/>
        <v>8.5994514944452191E-2</v>
      </c>
    </row>
    <row r="14" spans="1:11" ht="30" x14ac:dyDescent="0.25">
      <c r="A14" s="6" t="s">
        <v>62</v>
      </c>
      <c r="B14" s="6" cm="1">
        <f t="array" ref="B14">_xlfn.XLOOKUP(1,(CPI_Data[Year]=2023)*(CPI_Data[Month]="April")*(CPI_Data[Sector]="Rural+Urban"),CPI_Data[Transport and communication])</f>
        <v>164.5</v>
      </c>
      <c r="C14" s="7">
        <f t="shared" si="0"/>
        <v>7.6465393018175051E-2</v>
      </c>
    </row>
    <row r="15" spans="1:11" x14ac:dyDescent="0.25">
      <c r="A15" s="6" t="s">
        <v>63</v>
      </c>
      <c r="B15" s="6" cm="1">
        <f t="array" ref="B15">_xlfn.XLOOKUP(1,(CPI_Data[Year]=2023)*(CPI_Data[Month]="April")*(CPI_Data[Sector]="Rural+Urban"),CPI_Data[Recreation and amusement])</f>
        <v>170.7</v>
      </c>
      <c r="C15" s="7">
        <f t="shared" si="0"/>
        <v>7.9347371356853977E-2</v>
      </c>
    </row>
    <row r="16" spans="1:11" x14ac:dyDescent="0.25">
      <c r="A16" s="6" t="s">
        <v>26</v>
      </c>
      <c r="B16" s="6" cm="1">
        <f t="array" ref="B16">_xlfn.XLOOKUP(1,(CPI_Data[Year]=2023)*(CPI_Data[Month]="April")*(CPI_Data[Sector]="Rural+Urban"),CPI_Data[Education])</f>
        <v>176.4</v>
      </c>
      <c r="C16" s="7">
        <f t="shared" si="0"/>
        <v>8.1996932087574956E-2</v>
      </c>
    </row>
    <row r="17" spans="1:3" x14ac:dyDescent="0.25">
      <c r="A17" s="6" t="s">
        <v>64</v>
      </c>
      <c r="B17" s="6" cm="1">
        <f t="array" ref="B17">_xlfn.XLOOKUP(1,(CPI_Data[Year]=2023)*(CPI_Data[Month]="April")*(CPI_Data[Sector]="Rural+Urban"),CPI_Data[Personal care and effects])</f>
        <v>184</v>
      </c>
      <c r="C17" s="7">
        <f t="shared" si="0"/>
        <v>8.5529679728536229E-2</v>
      </c>
    </row>
    <row r="18" spans="1:3" ht="15.75" thickBot="1" x14ac:dyDescent="0.3">
      <c r="A18" s="16" t="s">
        <v>28</v>
      </c>
      <c r="B18" s="16" cm="1">
        <f t="array" ref="B18">_xlfn.XLOOKUP(1,(CPI_Data[Year]=2023)*(CPI_Data[Month]="April")*(CPI_Data[Sector]="Rural+Urban"),CPI_Data[Miscellaneous])</f>
        <v>175</v>
      </c>
      <c r="C18" s="17">
        <f t="shared" si="0"/>
        <v>8.1346162785292608E-2</v>
      </c>
    </row>
    <row r="19" spans="1:3" ht="15.75" thickBot="1" x14ac:dyDescent="0.3">
      <c r="A19" s="18" t="s">
        <v>65</v>
      </c>
      <c r="B19" s="19">
        <f>SUM(B7:B18)</f>
        <v>2151.3000000000002</v>
      </c>
      <c r="C19" s="20">
        <f>SUM(C7:C18)</f>
        <v>0.99999999999999989</v>
      </c>
    </row>
  </sheetData>
  <mergeCells count="1">
    <mergeCell ref="A2:K3"/>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BE906A-8E58-47D3-946C-B8D39FFF5604}">
  <dimension ref="A1:E79"/>
  <sheetViews>
    <sheetView workbookViewId="0">
      <selection activeCell="A7" sqref="A7"/>
    </sheetView>
  </sheetViews>
  <sheetFormatPr defaultRowHeight="15" x14ac:dyDescent="0.25"/>
  <cols>
    <col min="1" max="1" width="13.5703125" customWidth="1"/>
    <col min="2" max="2" width="14.85546875" bestFit="1" customWidth="1"/>
    <col min="3" max="3" width="14.42578125" customWidth="1"/>
    <col min="4" max="4" width="18.140625" customWidth="1"/>
    <col min="5" max="5" width="14.140625" bestFit="1" customWidth="1"/>
  </cols>
  <sheetData>
    <row r="1" spans="1:5" ht="21.75" customHeight="1" thickBot="1" x14ac:dyDescent="0.3">
      <c r="A1" s="69" t="s">
        <v>69</v>
      </c>
      <c r="B1" s="70"/>
      <c r="C1" s="70"/>
      <c r="D1" s="70"/>
      <c r="E1" s="71"/>
    </row>
    <row r="2" spans="1:5" ht="15.75" thickBot="1" x14ac:dyDescent="0.3">
      <c r="A2" s="30" t="s">
        <v>49</v>
      </c>
      <c r="B2" s="31" t="s">
        <v>1</v>
      </c>
      <c r="C2" s="31" t="s">
        <v>66</v>
      </c>
      <c r="D2" s="31" t="s">
        <v>67</v>
      </c>
      <c r="E2" s="32" t="s">
        <v>68</v>
      </c>
    </row>
    <row r="3" spans="1:5" x14ac:dyDescent="0.25">
      <c r="A3" s="26">
        <f>DATE(2017,1,1)</f>
        <v>42736</v>
      </c>
      <c r="B3" s="27">
        <f>YEAR(A3)</f>
        <v>2017</v>
      </c>
      <c r="C3" s="28" cm="1">
        <f t="array" ref="C3">_xlfn.IFNA(_xlfn.XLOOKUP(1,(CPI_Data[Year]=YEAR(A3))*(CPI_Data[Month]=TEXT(A3,"mmmm"))*(CPI_Data[Sector]="Rural+Urban"),CPI_Data[General index]),"")</f>
        <v>130.30000000000001</v>
      </c>
      <c r="D3" s="28" cm="1">
        <f t="array" ref="D3">_xlfn.IFNA(_xlfn.XLOOKUP(1,(CPI_Data[Year]=YEAR(A3)-1)*(CPI_Data[Month]=TEXT(A3,"mmmm"))*(CPI_Data[Sector]="Rural+Urban"),CPI_Data[General index])," ")</f>
        <v>126.3</v>
      </c>
      <c r="E3" s="29">
        <f>IFERROR((C3-D3)/D3*100,"")</f>
        <v>3.1670625494853639</v>
      </c>
    </row>
    <row r="4" spans="1:5" x14ac:dyDescent="0.25">
      <c r="A4" s="22">
        <f>EDATE(A3,1)</f>
        <v>42767</v>
      </c>
      <c r="B4" s="23">
        <f t="shared" ref="B4:B67" si="0">YEAR(A4)</f>
        <v>2017</v>
      </c>
      <c r="C4" s="24" cm="1">
        <f t="array" ref="C4">_xlfn.IFNA(_xlfn.XLOOKUP(1,(CPI_Data[Year]=YEAR(A4))*(CPI_Data[Month]=TEXT(A4,"mmmm"))*(CPI_Data[Sector]="Rural+Urban"),CPI_Data[General index]),"")</f>
        <v>130.6</v>
      </c>
      <c r="D4" s="24" cm="1">
        <f t="array" ref="D4">_xlfn.IFNA(_xlfn.XLOOKUP(1,(CPI_Data[Year]=YEAR(A4)-1)*(CPI_Data[Month]=TEXT(A4,"mmmm"))*(CPI_Data[Sector]="Rural+Urban"),CPI_Data[General index])," ")</f>
        <v>126</v>
      </c>
      <c r="E4" s="29">
        <f t="shared" ref="E4:E67" si="1">IFERROR((C4-D4)/D4*100,"")</f>
        <v>3.6507936507936463</v>
      </c>
    </row>
    <row r="5" spans="1:5" x14ac:dyDescent="0.25">
      <c r="A5" s="22">
        <f t="shared" ref="A5:A68" si="2">EDATE(A4,1)</f>
        <v>42795</v>
      </c>
      <c r="B5" s="23">
        <f t="shared" si="0"/>
        <v>2017</v>
      </c>
      <c r="C5" s="24" cm="1">
        <f t="array" ref="C5">_xlfn.IFNA(_xlfn.XLOOKUP(1,(CPI_Data[Year]=YEAR(A5))*(CPI_Data[Month]=TEXT(A5,"mmmm"))*(CPI_Data[Sector]="Rural+Urban"),CPI_Data[General index]),"")</f>
        <v>130.9</v>
      </c>
      <c r="D5" s="24" cm="1">
        <f t="array" ref="D5">_xlfn.IFNA(_xlfn.XLOOKUP(1,(CPI_Data[Year]=YEAR(A5)-1)*(CPI_Data[Month]=TEXT(A5,"mmmm"))*(CPI_Data[Sector]="Rural+Urban"),CPI_Data[General index])," ")</f>
        <v>126</v>
      </c>
      <c r="E5" s="29">
        <f t="shared" si="1"/>
        <v>3.8888888888888933</v>
      </c>
    </row>
    <row r="6" spans="1:5" x14ac:dyDescent="0.25">
      <c r="A6" s="22">
        <f t="shared" si="2"/>
        <v>42826</v>
      </c>
      <c r="B6" s="23">
        <f t="shared" si="0"/>
        <v>2017</v>
      </c>
      <c r="C6" s="24" cm="1">
        <f t="array" ref="C6">_xlfn.IFNA(_xlfn.XLOOKUP(1,(CPI_Data[Year]=YEAR(A6))*(CPI_Data[Month]=TEXT(A6,"mmmm"))*(CPI_Data[Sector]="Rural+Urban"),CPI_Data[General index]),"")</f>
        <v>131.1</v>
      </c>
      <c r="D6" s="24" cm="1">
        <f t="array" ref="D6">_xlfn.IFNA(_xlfn.XLOOKUP(1,(CPI_Data[Year]=YEAR(A6)-1)*(CPI_Data[Month]=TEXT(A6,"mmmm"))*(CPI_Data[Sector]="Rural+Urban"),CPI_Data[General index])," ")</f>
        <v>127.3</v>
      </c>
      <c r="E6" s="29">
        <f t="shared" si="1"/>
        <v>2.9850746268656696</v>
      </c>
    </row>
    <row r="7" spans="1:5" x14ac:dyDescent="0.25">
      <c r="A7" s="22">
        <f t="shared" si="2"/>
        <v>42856</v>
      </c>
      <c r="B7" s="23">
        <f t="shared" si="0"/>
        <v>2017</v>
      </c>
      <c r="C7" s="24" cm="1">
        <f t="array" ref="C7">_xlfn.IFNA(_xlfn.XLOOKUP(1,(CPI_Data[Year]=YEAR(A7))*(CPI_Data[Month]=TEXT(A7,"mmmm"))*(CPI_Data[Sector]="Rural+Urban"),CPI_Data[General index]),"")</f>
        <v>131.4</v>
      </c>
      <c r="D7" s="24" cm="1">
        <f t="array" ref="D7">_xlfn.IFNA(_xlfn.XLOOKUP(1,(CPI_Data[Year]=YEAR(A7)-1)*(CPI_Data[Month]=TEXT(A7,"mmmm"))*(CPI_Data[Sector]="Rural+Urban"),CPI_Data[General index])," ")</f>
        <v>128.6</v>
      </c>
      <c r="E7" s="29">
        <f t="shared" si="1"/>
        <v>2.1772939346811913</v>
      </c>
    </row>
    <row r="8" spans="1:5" x14ac:dyDescent="0.25">
      <c r="A8" s="22">
        <f t="shared" si="2"/>
        <v>42887</v>
      </c>
      <c r="B8" s="23">
        <f t="shared" si="0"/>
        <v>2017</v>
      </c>
      <c r="C8" s="24" cm="1">
        <f t="array" ref="C8">_xlfn.IFNA(_xlfn.XLOOKUP(1,(CPI_Data[Year]=YEAR(A8))*(CPI_Data[Month]=TEXT(A8,"mmmm"))*(CPI_Data[Sector]="Rural+Urban"),CPI_Data[General index]),"")</f>
        <v>132</v>
      </c>
      <c r="D8" s="24" cm="1">
        <f t="array" ref="D8">_xlfn.IFNA(_xlfn.XLOOKUP(1,(CPI_Data[Year]=YEAR(A8)-1)*(CPI_Data[Month]=TEXT(A8,"mmmm"))*(CPI_Data[Sector]="Rural+Urban"),CPI_Data[General index])," ")</f>
        <v>130.1</v>
      </c>
      <c r="E8" s="29">
        <f t="shared" si="1"/>
        <v>1.4604150653343626</v>
      </c>
    </row>
    <row r="9" spans="1:5" x14ac:dyDescent="0.25">
      <c r="A9" s="22">
        <f t="shared" si="2"/>
        <v>42917</v>
      </c>
      <c r="B9" s="23">
        <f t="shared" si="0"/>
        <v>2017</v>
      </c>
      <c r="C9" s="24" cm="1">
        <f t="array" ref="C9">_xlfn.IFNA(_xlfn.XLOOKUP(1,(CPI_Data[Year]=YEAR(A9))*(CPI_Data[Month]=TEXT(A9,"mmmm"))*(CPI_Data[Sector]="Rural+Urban"),CPI_Data[General index]),"")</f>
        <v>134.19999999999999</v>
      </c>
      <c r="D9" s="24" cm="1">
        <f t="array" ref="D9">_xlfn.IFNA(_xlfn.XLOOKUP(1,(CPI_Data[Year]=YEAR(A9)-1)*(CPI_Data[Month]=TEXT(A9,"mmmm"))*(CPI_Data[Sector]="Rural+Urban"),CPI_Data[General index])," ")</f>
        <v>131.1</v>
      </c>
      <c r="E9" s="29">
        <f t="shared" si="1"/>
        <v>2.3646071700991569</v>
      </c>
    </row>
    <row r="10" spans="1:5" x14ac:dyDescent="0.25">
      <c r="A10" s="22">
        <f t="shared" si="2"/>
        <v>42948</v>
      </c>
      <c r="B10" s="23">
        <f t="shared" si="0"/>
        <v>2017</v>
      </c>
      <c r="C10" s="24" cm="1">
        <f t="array" ref="C10">_xlfn.IFNA(_xlfn.XLOOKUP(1,(CPI_Data[Year]=YEAR(A10))*(CPI_Data[Month]=TEXT(A10,"mmmm"))*(CPI_Data[Sector]="Rural+Urban"),CPI_Data[General index]),"")</f>
        <v>135.4</v>
      </c>
      <c r="D10" s="24" cm="1">
        <f t="array" ref="D10">_xlfn.IFNA(_xlfn.XLOOKUP(1,(CPI_Data[Year]=YEAR(A10)-1)*(CPI_Data[Month]=TEXT(A10,"mmmm"))*(CPI_Data[Sector]="Rural+Urban"),CPI_Data[General index])," ")</f>
        <v>131.1</v>
      </c>
      <c r="E10" s="29">
        <f t="shared" si="1"/>
        <v>3.2799389778794903</v>
      </c>
    </row>
    <row r="11" spans="1:5" x14ac:dyDescent="0.25">
      <c r="A11" s="22">
        <f t="shared" si="2"/>
        <v>42979</v>
      </c>
      <c r="B11" s="23">
        <f t="shared" si="0"/>
        <v>2017</v>
      </c>
      <c r="C11" s="24" cm="1">
        <f t="array" ref="C11">_xlfn.IFNA(_xlfn.XLOOKUP(1,(CPI_Data[Year]=YEAR(A11))*(CPI_Data[Month]=TEXT(A11,"mmmm"))*(CPI_Data[Sector]="Rural+Urban"),CPI_Data[General index]),"")</f>
        <v>135.19999999999999</v>
      </c>
      <c r="D11" s="24" cm="1">
        <f t="array" ref="D11">_xlfn.IFNA(_xlfn.XLOOKUP(1,(CPI_Data[Year]=YEAR(A11)-1)*(CPI_Data[Month]=TEXT(A11,"mmmm"))*(CPI_Data[Sector]="Rural+Urban"),CPI_Data[General index])," ")</f>
        <v>130.9</v>
      </c>
      <c r="E11" s="29">
        <f t="shared" si="1"/>
        <v>3.2849503437738599</v>
      </c>
    </row>
    <row r="12" spans="1:5" x14ac:dyDescent="0.25">
      <c r="A12" s="22">
        <f t="shared" si="2"/>
        <v>43009</v>
      </c>
      <c r="B12" s="23">
        <f t="shared" si="0"/>
        <v>2017</v>
      </c>
      <c r="C12" s="24" cm="1">
        <f t="array" ref="C12">_xlfn.IFNA(_xlfn.XLOOKUP(1,(CPI_Data[Year]=YEAR(A12))*(CPI_Data[Month]=TEXT(A12,"mmmm"))*(CPI_Data[Sector]="Rural+Urban"),CPI_Data[General index]),"")</f>
        <v>136.1</v>
      </c>
      <c r="D12" s="24" cm="1">
        <f t="array" ref="D12">_xlfn.IFNA(_xlfn.XLOOKUP(1,(CPI_Data[Year]=YEAR(A12)-1)*(CPI_Data[Month]=TEXT(A12,"mmmm"))*(CPI_Data[Sector]="Rural+Urban"),CPI_Data[General index])," ")</f>
        <v>131.4</v>
      </c>
      <c r="E12" s="29">
        <f t="shared" si="1"/>
        <v>3.5768645357686371</v>
      </c>
    </row>
    <row r="13" spans="1:5" x14ac:dyDescent="0.25">
      <c r="A13" s="22">
        <f t="shared" si="2"/>
        <v>43040</v>
      </c>
      <c r="B13" s="23">
        <f t="shared" si="0"/>
        <v>2017</v>
      </c>
      <c r="C13" s="24" cm="1">
        <f t="array" ref="C13">_xlfn.IFNA(_xlfn.XLOOKUP(1,(CPI_Data[Year]=YEAR(A13))*(CPI_Data[Month]=TEXT(A13,"mmmm"))*(CPI_Data[Sector]="Rural+Urban"),CPI_Data[General index]),"")</f>
        <v>137.6</v>
      </c>
      <c r="D13" s="24" cm="1">
        <f t="array" ref="D13">_xlfn.IFNA(_xlfn.XLOOKUP(1,(CPI_Data[Year]=YEAR(A13)-1)*(CPI_Data[Month]=TEXT(A13,"mmmm"))*(CPI_Data[Sector]="Rural+Urban"),CPI_Data[General index])," ")</f>
        <v>131.19999999999999</v>
      </c>
      <c r="E13" s="29">
        <f t="shared" si="1"/>
        <v>4.8780487804878101</v>
      </c>
    </row>
    <row r="14" spans="1:5" x14ac:dyDescent="0.25">
      <c r="A14" s="22">
        <f t="shared" si="2"/>
        <v>43070</v>
      </c>
      <c r="B14" s="23">
        <f t="shared" si="0"/>
        <v>2017</v>
      </c>
      <c r="C14" s="24" cm="1">
        <f t="array" ref="C14">_xlfn.IFNA(_xlfn.XLOOKUP(1,(CPI_Data[Year]=YEAR(A14))*(CPI_Data[Month]=TEXT(A14,"mmmm"))*(CPI_Data[Sector]="Rural+Urban"),CPI_Data[General index]),"")</f>
        <v>137.19999999999999</v>
      </c>
      <c r="D14" s="24" cm="1">
        <f t="array" ref="D14">_xlfn.IFNA(_xlfn.XLOOKUP(1,(CPI_Data[Year]=YEAR(A14)-1)*(CPI_Data[Month]=TEXT(A14,"mmmm"))*(CPI_Data[Sector]="Rural+Urban"),CPI_Data[General index])," ")</f>
        <v>130.4</v>
      </c>
      <c r="E14" s="29">
        <f t="shared" si="1"/>
        <v>5.2147239263803549</v>
      </c>
    </row>
    <row r="15" spans="1:5" x14ac:dyDescent="0.25">
      <c r="A15" s="22">
        <f t="shared" si="2"/>
        <v>43101</v>
      </c>
      <c r="B15" s="23">
        <f t="shared" si="0"/>
        <v>2018</v>
      </c>
      <c r="C15" s="24" cm="1">
        <f t="array" ref="C15">_xlfn.IFNA(_xlfn.XLOOKUP(1,(CPI_Data[Year]=YEAR(A15))*(CPI_Data[Month]=TEXT(A15,"mmmm"))*(CPI_Data[Sector]="Rural+Urban"),CPI_Data[General index]),"")</f>
        <v>136.9</v>
      </c>
      <c r="D15" s="24" cm="1">
        <f t="array" ref="D15">_xlfn.IFNA(_xlfn.XLOOKUP(1,(CPI_Data[Year]=YEAR(A15)-1)*(CPI_Data[Month]=TEXT(A15,"mmmm"))*(CPI_Data[Sector]="Rural+Urban"),CPI_Data[General index])," ")</f>
        <v>130.30000000000001</v>
      </c>
      <c r="E15" s="29">
        <f t="shared" si="1"/>
        <v>5.0652340752110465</v>
      </c>
    </row>
    <row r="16" spans="1:5" x14ac:dyDescent="0.25">
      <c r="A16" s="22">
        <f t="shared" si="2"/>
        <v>43132</v>
      </c>
      <c r="B16" s="23">
        <f t="shared" si="0"/>
        <v>2018</v>
      </c>
      <c r="C16" s="24" cm="1">
        <f t="array" ref="C16">_xlfn.IFNA(_xlfn.XLOOKUP(1,(CPI_Data[Year]=YEAR(A16))*(CPI_Data[Month]=TEXT(A16,"mmmm"))*(CPI_Data[Sector]="Rural+Urban"),CPI_Data[General index]),"")</f>
        <v>136.4</v>
      </c>
      <c r="D16" s="24" cm="1">
        <f t="array" ref="D16">_xlfn.IFNA(_xlfn.XLOOKUP(1,(CPI_Data[Year]=YEAR(A16)-1)*(CPI_Data[Month]=TEXT(A16,"mmmm"))*(CPI_Data[Sector]="Rural+Urban"),CPI_Data[General index])," ")</f>
        <v>130.6</v>
      </c>
      <c r="E16" s="29">
        <f t="shared" si="1"/>
        <v>4.4410413476263493</v>
      </c>
    </row>
    <row r="17" spans="1:5" x14ac:dyDescent="0.25">
      <c r="A17" s="22">
        <f t="shared" si="2"/>
        <v>43160</v>
      </c>
      <c r="B17" s="23">
        <f t="shared" si="0"/>
        <v>2018</v>
      </c>
      <c r="C17" s="24" cm="1">
        <f t="array" ref="C17">_xlfn.IFNA(_xlfn.XLOOKUP(1,(CPI_Data[Year]=YEAR(A17))*(CPI_Data[Month]=TEXT(A17,"mmmm"))*(CPI_Data[Sector]="Rural+Urban"),CPI_Data[General index]),"")</f>
        <v>136.5</v>
      </c>
      <c r="D17" s="24" cm="1">
        <f t="array" ref="D17">_xlfn.IFNA(_xlfn.XLOOKUP(1,(CPI_Data[Year]=YEAR(A17)-1)*(CPI_Data[Month]=TEXT(A17,"mmmm"))*(CPI_Data[Sector]="Rural+Urban"),CPI_Data[General index])," ")</f>
        <v>130.9</v>
      </c>
      <c r="E17" s="29">
        <f t="shared" si="1"/>
        <v>4.2780748663101562</v>
      </c>
    </row>
    <row r="18" spans="1:5" x14ac:dyDescent="0.25">
      <c r="A18" s="22">
        <f t="shared" si="2"/>
        <v>43191</v>
      </c>
      <c r="B18" s="23">
        <f t="shared" si="0"/>
        <v>2018</v>
      </c>
      <c r="C18" s="24" cm="1">
        <f t="array" ref="C18">_xlfn.IFNA(_xlfn.XLOOKUP(1,(CPI_Data[Year]=YEAR(A18))*(CPI_Data[Month]=TEXT(A18,"mmmm"))*(CPI_Data[Sector]="Rural+Urban"),CPI_Data[General index]),"")</f>
        <v>137.1</v>
      </c>
      <c r="D18" s="24" cm="1">
        <f t="array" ref="D18">_xlfn.IFNA(_xlfn.XLOOKUP(1,(CPI_Data[Year]=YEAR(A18)-1)*(CPI_Data[Month]=TEXT(A18,"mmmm"))*(CPI_Data[Sector]="Rural+Urban"),CPI_Data[General index])," ")</f>
        <v>131.1</v>
      </c>
      <c r="E18" s="29">
        <f t="shared" si="1"/>
        <v>4.5766590389016022</v>
      </c>
    </row>
    <row r="19" spans="1:5" x14ac:dyDescent="0.25">
      <c r="A19" s="22">
        <f t="shared" si="2"/>
        <v>43221</v>
      </c>
      <c r="B19" s="23">
        <f t="shared" si="0"/>
        <v>2018</v>
      </c>
      <c r="C19" s="24" cm="1">
        <f t="array" ref="C19">_xlfn.IFNA(_xlfn.XLOOKUP(1,(CPI_Data[Year]=YEAR(A19))*(CPI_Data[Month]=TEXT(A19,"mmmm"))*(CPI_Data[Sector]="Rural+Urban"),CPI_Data[General index]),"")</f>
        <v>137.80000000000001</v>
      </c>
      <c r="D19" s="24" cm="1">
        <f t="array" ref="D19">_xlfn.IFNA(_xlfn.XLOOKUP(1,(CPI_Data[Year]=YEAR(A19)-1)*(CPI_Data[Month]=TEXT(A19,"mmmm"))*(CPI_Data[Sector]="Rural+Urban"),CPI_Data[General index])," ")</f>
        <v>131.4</v>
      </c>
      <c r="E19" s="29">
        <f t="shared" si="1"/>
        <v>4.8706240487062447</v>
      </c>
    </row>
    <row r="20" spans="1:5" x14ac:dyDescent="0.25">
      <c r="A20" s="22">
        <f t="shared" si="2"/>
        <v>43252</v>
      </c>
      <c r="B20" s="23">
        <f t="shared" si="0"/>
        <v>2018</v>
      </c>
      <c r="C20" s="24" cm="1">
        <f t="array" ref="C20">_xlfn.IFNA(_xlfn.XLOOKUP(1,(CPI_Data[Year]=YEAR(A20))*(CPI_Data[Month]=TEXT(A20,"mmmm"))*(CPI_Data[Sector]="Rural+Urban"),CPI_Data[General index]),"")</f>
        <v>138.5</v>
      </c>
      <c r="D20" s="24" cm="1">
        <f t="array" ref="D20">_xlfn.IFNA(_xlfn.XLOOKUP(1,(CPI_Data[Year]=YEAR(A20)-1)*(CPI_Data[Month]=TEXT(A20,"mmmm"))*(CPI_Data[Sector]="Rural+Urban"),CPI_Data[General index])," ")</f>
        <v>132</v>
      </c>
      <c r="E20" s="29">
        <f t="shared" si="1"/>
        <v>4.9242424242424239</v>
      </c>
    </row>
    <row r="21" spans="1:5" x14ac:dyDescent="0.25">
      <c r="A21" s="22">
        <f t="shared" si="2"/>
        <v>43282</v>
      </c>
      <c r="B21" s="23">
        <f t="shared" si="0"/>
        <v>2018</v>
      </c>
      <c r="C21" s="24" cm="1">
        <f t="array" ref="C21">_xlfn.IFNA(_xlfn.XLOOKUP(1,(CPI_Data[Year]=YEAR(A21))*(CPI_Data[Month]=TEXT(A21,"mmmm"))*(CPI_Data[Sector]="Rural+Urban"),CPI_Data[General index]),"")</f>
        <v>139.80000000000001</v>
      </c>
      <c r="D21" s="24" cm="1">
        <f t="array" ref="D21">_xlfn.IFNA(_xlfn.XLOOKUP(1,(CPI_Data[Year]=YEAR(A21)-1)*(CPI_Data[Month]=TEXT(A21,"mmmm"))*(CPI_Data[Sector]="Rural+Urban"),CPI_Data[General index])," ")</f>
        <v>134.19999999999999</v>
      </c>
      <c r="E21" s="29">
        <f t="shared" si="1"/>
        <v>4.1728763040238617</v>
      </c>
    </row>
    <row r="22" spans="1:5" x14ac:dyDescent="0.25">
      <c r="A22" s="22">
        <f t="shared" si="2"/>
        <v>43313</v>
      </c>
      <c r="B22" s="23">
        <f t="shared" si="0"/>
        <v>2018</v>
      </c>
      <c r="C22" s="24" cm="1">
        <f t="array" ref="C22">_xlfn.IFNA(_xlfn.XLOOKUP(1,(CPI_Data[Year]=YEAR(A22))*(CPI_Data[Month]=TEXT(A22,"mmmm"))*(CPI_Data[Sector]="Rural+Urban"),CPI_Data[General index]),"")</f>
        <v>140.4</v>
      </c>
      <c r="D22" s="24" cm="1">
        <f t="array" ref="D22">_xlfn.IFNA(_xlfn.XLOOKUP(1,(CPI_Data[Year]=YEAR(A22)-1)*(CPI_Data[Month]=TEXT(A22,"mmmm"))*(CPI_Data[Sector]="Rural+Urban"),CPI_Data[General index])," ")</f>
        <v>135.4</v>
      </c>
      <c r="E22" s="29">
        <f t="shared" si="1"/>
        <v>3.6927621861152145</v>
      </c>
    </row>
    <row r="23" spans="1:5" x14ac:dyDescent="0.25">
      <c r="A23" s="22">
        <f t="shared" si="2"/>
        <v>43344</v>
      </c>
      <c r="B23" s="23">
        <f t="shared" si="0"/>
        <v>2018</v>
      </c>
      <c r="C23" s="24" cm="1">
        <f t="array" ref="C23">_xlfn.IFNA(_xlfn.XLOOKUP(1,(CPI_Data[Year]=YEAR(A23))*(CPI_Data[Month]=TEXT(A23,"mmmm"))*(CPI_Data[Sector]="Rural+Urban"),CPI_Data[General index]),"")</f>
        <v>140.19999999999999</v>
      </c>
      <c r="D23" s="24" cm="1">
        <f t="array" ref="D23">_xlfn.IFNA(_xlfn.XLOOKUP(1,(CPI_Data[Year]=YEAR(A23)-1)*(CPI_Data[Month]=TEXT(A23,"mmmm"))*(CPI_Data[Sector]="Rural+Urban"),CPI_Data[General index])," ")</f>
        <v>135.19999999999999</v>
      </c>
      <c r="E23" s="29">
        <f t="shared" si="1"/>
        <v>3.6982248520710059</v>
      </c>
    </row>
    <row r="24" spans="1:5" x14ac:dyDescent="0.25">
      <c r="A24" s="22">
        <f t="shared" si="2"/>
        <v>43374</v>
      </c>
      <c r="B24" s="23">
        <f t="shared" si="0"/>
        <v>2018</v>
      </c>
      <c r="C24" s="24" cm="1">
        <f t="array" ref="C24">_xlfn.IFNA(_xlfn.XLOOKUP(1,(CPI_Data[Year]=YEAR(A24))*(CPI_Data[Month]=TEXT(A24,"mmmm"))*(CPI_Data[Sector]="Rural+Urban"),CPI_Data[General index]),"")</f>
        <v>140.80000000000001</v>
      </c>
      <c r="D24" s="24" cm="1">
        <f t="array" ref="D24">_xlfn.IFNA(_xlfn.XLOOKUP(1,(CPI_Data[Year]=YEAR(A24)-1)*(CPI_Data[Month]=TEXT(A24,"mmmm"))*(CPI_Data[Sector]="Rural+Urban"),CPI_Data[General index])," ")</f>
        <v>136.1</v>
      </c>
      <c r="E24" s="29">
        <f t="shared" si="1"/>
        <v>3.4533431300514459</v>
      </c>
    </row>
    <row r="25" spans="1:5" x14ac:dyDescent="0.25">
      <c r="A25" s="22">
        <f t="shared" si="2"/>
        <v>43405</v>
      </c>
      <c r="B25" s="23">
        <f t="shared" si="0"/>
        <v>2018</v>
      </c>
      <c r="C25" s="24" cm="1">
        <f t="array" ref="C25">_xlfn.IFNA(_xlfn.XLOOKUP(1,(CPI_Data[Year]=YEAR(A25))*(CPI_Data[Month]=TEXT(A25,"mmmm"))*(CPI_Data[Sector]="Rural+Urban"),CPI_Data[General index]),"")</f>
        <v>140.80000000000001</v>
      </c>
      <c r="D25" s="24" cm="1">
        <f t="array" ref="D25">_xlfn.IFNA(_xlfn.XLOOKUP(1,(CPI_Data[Year]=YEAR(A25)-1)*(CPI_Data[Month]=TEXT(A25,"mmmm"))*(CPI_Data[Sector]="Rural+Urban"),CPI_Data[General index])," ")</f>
        <v>137.6</v>
      </c>
      <c r="E25" s="29">
        <f t="shared" si="1"/>
        <v>2.3255813953488498</v>
      </c>
    </row>
    <row r="26" spans="1:5" x14ac:dyDescent="0.25">
      <c r="A26" s="22">
        <f t="shared" si="2"/>
        <v>43435</v>
      </c>
      <c r="B26" s="23">
        <f t="shared" si="0"/>
        <v>2018</v>
      </c>
      <c r="C26" s="24" cm="1">
        <f t="array" ref="C26">_xlfn.IFNA(_xlfn.XLOOKUP(1,(CPI_Data[Year]=YEAR(A26))*(CPI_Data[Month]=TEXT(A26,"mmmm"))*(CPI_Data[Sector]="Rural+Urban"),CPI_Data[General index]),"")</f>
        <v>140.1</v>
      </c>
      <c r="D26" s="24" cm="1">
        <f t="array" ref="D26">_xlfn.IFNA(_xlfn.XLOOKUP(1,(CPI_Data[Year]=YEAR(A26)-1)*(CPI_Data[Month]=TEXT(A26,"mmmm"))*(CPI_Data[Sector]="Rural+Urban"),CPI_Data[General index])," ")</f>
        <v>137.19999999999999</v>
      </c>
      <c r="E26" s="29">
        <f t="shared" si="1"/>
        <v>2.1137026239067098</v>
      </c>
    </row>
    <row r="27" spans="1:5" x14ac:dyDescent="0.25">
      <c r="A27" s="22">
        <f t="shared" si="2"/>
        <v>43466</v>
      </c>
      <c r="B27" s="23">
        <f t="shared" si="0"/>
        <v>2019</v>
      </c>
      <c r="C27" s="24" cm="1">
        <f t="array" ref="C27">_xlfn.IFNA(_xlfn.XLOOKUP(1,(CPI_Data[Year]=YEAR(A27))*(CPI_Data[Month]=TEXT(A27,"mmmm"))*(CPI_Data[Sector]="Rural+Urban"),CPI_Data[General index]),"")</f>
        <v>139.6</v>
      </c>
      <c r="D27" s="24" cm="1">
        <f t="array" ref="D27">_xlfn.IFNA(_xlfn.XLOOKUP(1,(CPI_Data[Year]=YEAR(A27)-1)*(CPI_Data[Month]=TEXT(A27,"mmmm"))*(CPI_Data[Sector]="Rural+Urban"),CPI_Data[General index])," ")</f>
        <v>136.9</v>
      </c>
      <c r="E27" s="29">
        <f t="shared" si="1"/>
        <v>1.972242512783045</v>
      </c>
    </row>
    <row r="28" spans="1:5" x14ac:dyDescent="0.25">
      <c r="A28" s="22">
        <f t="shared" si="2"/>
        <v>43497</v>
      </c>
      <c r="B28" s="23">
        <f t="shared" si="0"/>
        <v>2019</v>
      </c>
      <c r="C28" s="24" cm="1">
        <f t="array" ref="C28">_xlfn.IFNA(_xlfn.XLOOKUP(1,(CPI_Data[Year]=YEAR(A28))*(CPI_Data[Month]=TEXT(A28,"mmmm"))*(CPI_Data[Sector]="Rural+Urban"),CPI_Data[General index]),"")</f>
        <v>139.9</v>
      </c>
      <c r="D28" s="24" cm="1">
        <f t="array" ref="D28">_xlfn.IFNA(_xlfn.XLOOKUP(1,(CPI_Data[Year]=YEAR(A28)-1)*(CPI_Data[Month]=TEXT(A28,"mmmm"))*(CPI_Data[Sector]="Rural+Urban"),CPI_Data[General index])," ")</f>
        <v>136.4</v>
      </c>
      <c r="E28" s="29">
        <f t="shared" si="1"/>
        <v>2.5659824046920821</v>
      </c>
    </row>
    <row r="29" spans="1:5" x14ac:dyDescent="0.25">
      <c r="A29" s="22">
        <f t="shared" si="2"/>
        <v>43525</v>
      </c>
      <c r="B29" s="23">
        <f t="shared" si="0"/>
        <v>2019</v>
      </c>
      <c r="C29" s="24" cm="1">
        <f t="array" ref="C29">_xlfn.IFNA(_xlfn.XLOOKUP(1,(CPI_Data[Year]=YEAR(A29))*(CPI_Data[Month]=TEXT(A29,"mmmm"))*(CPI_Data[Sector]="Rural+Urban"),CPI_Data[General index]),"")</f>
        <v>140.4</v>
      </c>
      <c r="D29" s="24" cm="1">
        <f t="array" ref="D29">_xlfn.IFNA(_xlfn.XLOOKUP(1,(CPI_Data[Year]=YEAR(A29)-1)*(CPI_Data[Month]=TEXT(A29,"mmmm"))*(CPI_Data[Sector]="Rural+Urban"),CPI_Data[General index])," ")</f>
        <v>136.5</v>
      </c>
      <c r="E29" s="29">
        <f t="shared" si="1"/>
        <v>2.8571428571428612</v>
      </c>
    </row>
    <row r="30" spans="1:5" x14ac:dyDescent="0.25">
      <c r="A30" s="22">
        <f t="shared" si="2"/>
        <v>43556</v>
      </c>
      <c r="B30" s="23">
        <f t="shared" si="0"/>
        <v>2019</v>
      </c>
      <c r="C30" s="24" t="str" cm="1">
        <f t="array" ref="C30">_xlfn.IFNA(_xlfn.XLOOKUP(1,(CPI_Data[Year]=YEAR(A30))*(CPI_Data[Month]=TEXT(A30,"mmmm"))*(CPI_Data[Sector]="Rural+Urban"),CPI_Data[General index]),"")</f>
        <v/>
      </c>
      <c r="D30" s="24" cm="1">
        <f t="array" ref="D30">_xlfn.IFNA(_xlfn.XLOOKUP(1,(CPI_Data[Year]=YEAR(A30)-1)*(CPI_Data[Month]=TEXT(A30,"mmmm"))*(CPI_Data[Sector]="Rural+Urban"),CPI_Data[General index])," ")</f>
        <v>137.1</v>
      </c>
      <c r="E30" s="29" t="str">
        <f t="shared" si="1"/>
        <v/>
      </c>
    </row>
    <row r="31" spans="1:5" x14ac:dyDescent="0.25">
      <c r="A31" s="22">
        <f t="shared" si="2"/>
        <v>43586</v>
      </c>
      <c r="B31" s="23">
        <f t="shared" si="0"/>
        <v>2019</v>
      </c>
      <c r="C31" s="24" cm="1">
        <f t="array" ref="C31">_xlfn.IFNA(_xlfn.XLOOKUP(1,(CPI_Data[Year]=YEAR(A31))*(CPI_Data[Month]=TEXT(A31,"mmmm"))*(CPI_Data[Sector]="Rural+Urban"),CPI_Data[General index]),"")</f>
        <v>142</v>
      </c>
      <c r="D31" s="24" cm="1">
        <f t="array" ref="D31">_xlfn.IFNA(_xlfn.XLOOKUP(1,(CPI_Data[Year]=YEAR(A31)-1)*(CPI_Data[Month]=TEXT(A31,"mmmm"))*(CPI_Data[Sector]="Rural+Urban"),CPI_Data[General index])," ")</f>
        <v>137.80000000000001</v>
      </c>
      <c r="E31" s="29">
        <f t="shared" si="1"/>
        <v>3.0478955007256809</v>
      </c>
    </row>
    <row r="32" spans="1:5" x14ac:dyDescent="0.25">
      <c r="A32" s="22">
        <f t="shared" si="2"/>
        <v>43617</v>
      </c>
      <c r="B32" s="23">
        <f t="shared" si="0"/>
        <v>2019</v>
      </c>
      <c r="C32" s="24" cm="1">
        <f t="array" ref="C32">_xlfn.IFNA(_xlfn.XLOOKUP(1,(CPI_Data[Year]=YEAR(A32))*(CPI_Data[Month]=TEXT(A32,"mmmm"))*(CPI_Data[Sector]="Rural+Urban"),CPI_Data[General index]),"")</f>
        <v>142.9</v>
      </c>
      <c r="D32" s="24" cm="1">
        <f t="array" ref="D32">_xlfn.IFNA(_xlfn.XLOOKUP(1,(CPI_Data[Year]=YEAR(A32)-1)*(CPI_Data[Month]=TEXT(A32,"mmmm"))*(CPI_Data[Sector]="Rural+Urban"),CPI_Data[General index])," ")</f>
        <v>138.5</v>
      </c>
      <c r="E32" s="29">
        <f t="shared" si="1"/>
        <v>3.1768953068592101</v>
      </c>
    </row>
    <row r="33" spans="1:5" x14ac:dyDescent="0.25">
      <c r="A33" s="22">
        <f t="shared" si="2"/>
        <v>43647</v>
      </c>
      <c r="B33" s="23">
        <f t="shared" si="0"/>
        <v>2019</v>
      </c>
      <c r="C33" s="24" cm="1">
        <f t="array" ref="C33">_xlfn.IFNA(_xlfn.XLOOKUP(1,(CPI_Data[Year]=YEAR(A33))*(CPI_Data[Month]=TEXT(A33,"mmmm"))*(CPI_Data[Sector]="Rural+Urban"),CPI_Data[General index]),"")</f>
        <v>144.19999999999999</v>
      </c>
      <c r="D33" s="24" cm="1">
        <f t="array" ref="D33">_xlfn.IFNA(_xlfn.XLOOKUP(1,(CPI_Data[Year]=YEAR(A33)-1)*(CPI_Data[Month]=TEXT(A33,"mmmm"))*(CPI_Data[Sector]="Rural+Urban"),CPI_Data[General index])," ")</f>
        <v>139.80000000000001</v>
      </c>
      <c r="E33" s="29">
        <f t="shared" si="1"/>
        <v>3.14735336194562</v>
      </c>
    </row>
    <row r="34" spans="1:5" x14ac:dyDescent="0.25">
      <c r="A34" s="22">
        <f t="shared" si="2"/>
        <v>43678</v>
      </c>
      <c r="B34" s="23">
        <f t="shared" si="0"/>
        <v>2019</v>
      </c>
      <c r="C34" s="24" cm="1">
        <f t="array" ref="C34">_xlfn.IFNA(_xlfn.XLOOKUP(1,(CPI_Data[Year]=YEAR(A34))*(CPI_Data[Month]=TEXT(A34,"mmmm"))*(CPI_Data[Sector]="Rural+Urban"),CPI_Data[General index]),"")</f>
        <v>145</v>
      </c>
      <c r="D34" s="24" cm="1">
        <f t="array" ref="D34">_xlfn.IFNA(_xlfn.XLOOKUP(1,(CPI_Data[Year]=YEAR(A34)-1)*(CPI_Data[Month]=TEXT(A34,"mmmm"))*(CPI_Data[Sector]="Rural+Urban"),CPI_Data[General index])," ")</f>
        <v>140.4</v>
      </c>
      <c r="E34" s="29">
        <f t="shared" si="1"/>
        <v>3.2763532763532721</v>
      </c>
    </row>
    <row r="35" spans="1:5" x14ac:dyDescent="0.25">
      <c r="A35" s="22">
        <f t="shared" si="2"/>
        <v>43709</v>
      </c>
      <c r="B35" s="23">
        <f t="shared" si="0"/>
        <v>2019</v>
      </c>
      <c r="C35" s="24" cm="1">
        <f t="array" ref="C35">_xlfn.IFNA(_xlfn.XLOOKUP(1,(CPI_Data[Year]=YEAR(A35))*(CPI_Data[Month]=TEXT(A35,"mmmm"))*(CPI_Data[Sector]="Rural+Urban"),CPI_Data[General index]),"")</f>
        <v>145.80000000000001</v>
      </c>
      <c r="D35" s="24" cm="1">
        <f t="array" ref="D35">_xlfn.IFNA(_xlfn.XLOOKUP(1,(CPI_Data[Year]=YEAR(A35)-1)*(CPI_Data[Month]=TEXT(A35,"mmmm"))*(CPI_Data[Sector]="Rural+Urban"),CPI_Data[General index])," ")</f>
        <v>140.19999999999999</v>
      </c>
      <c r="E35" s="29">
        <f t="shared" si="1"/>
        <v>3.9942938659058651</v>
      </c>
    </row>
    <row r="36" spans="1:5" x14ac:dyDescent="0.25">
      <c r="A36" s="22">
        <f t="shared" si="2"/>
        <v>43739</v>
      </c>
      <c r="B36" s="23">
        <f t="shared" si="0"/>
        <v>2019</v>
      </c>
      <c r="C36" s="24" cm="1">
        <f t="array" ref="C36">_xlfn.IFNA(_xlfn.XLOOKUP(1,(CPI_Data[Year]=YEAR(A36))*(CPI_Data[Month]=TEXT(A36,"mmmm"))*(CPI_Data[Sector]="Rural+Urban"),CPI_Data[General index]),"")</f>
        <v>147.19999999999999</v>
      </c>
      <c r="D36" s="24" cm="1">
        <f t="array" ref="D36">_xlfn.IFNA(_xlfn.XLOOKUP(1,(CPI_Data[Year]=YEAR(A36)-1)*(CPI_Data[Month]=TEXT(A36,"mmmm"))*(CPI_Data[Sector]="Rural+Urban"),CPI_Data[General index])," ")</f>
        <v>140.80000000000001</v>
      </c>
      <c r="E36" s="29">
        <f t="shared" si="1"/>
        <v>4.545454545454529</v>
      </c>
    </row>
    <row r="37" spans="1:5" x14ac:dyDescent="0.25">
      <c r="A37" s="22">
        <f t="shared" si="2"/>
        <v>43770</v>
      </c>
      <c r="B37" s="23">
        <f t="shared" si="0"/>
        <v>2019</v>
      </c>
      <c r="C37" s="24" cm="1">
        <f t="array" ref="C37">_xlfn.IFNA(_xlfn.XLOOKUP(1,(CPI_Data[Year]=YEAR(A37))*(CPI_Data[Month]=TEXT(A37,"mmmm"))*(CPI_Data[Sector]="Rural+Urban"),CPI_Data[General index]),"")</f>
        <v>148.6</v>
      </c>
      <c r="D37" s="24" cm="1">
        <f t="array" ref="D37">_xlfn.IFNA(_xlfn.XLOOKUP(1,(CPI_Data[Year]=YEAR(A37)-1)*(CPI_Data[Month]=TEXT(A37,"mmmm"))*(CPI_Data[Sector]="Rural+Urban"),CPI_Data[General index])," ")</f>
        <v>140.80000000000001</v>
      </c>
      <c r="E37" s="29">
        <f t="shared" si="1"/>
        <v>5.5397727272727151</v>
      </c>
    </row>
    <row r="38" spans="1:5" x14ac:dyDescent="0.25">
      <c r="A38" s="22">
        <f t="shared" si="2"/>
        <v>43800</v>
      </c>
      <c r="B38" s="23">
        <f t="shared" si="0"/>
        <v>2019</v>
      </c>
      <c r="C38" s="24" cm="1">
        <f t="array" ref="C38">_xlfn.IFNA(_xlfn.XLOOKUP(1,(CPI_Data[Year]=YEAR(A38))*(CPI_Data[Month]=TEXT(A38,"mmmm"))*(CPI_Data[Sector]="Rural+Urban"),CPI_Data[General index]),"")</f>
        <v>150.4</v>
      </c>
      <c r="D38" s="24" cm="1">
        <f t="array" ref="D38">_xlfn.IFNA(_xlfn.XLOOKUP(1,(CPI_Data[Year]=YEAR(A38)-1)*(CPI_Data[Month]=TEXT(A38,"mmmm"))*(CPI_Data[Sector]="Rural+Urban"),CPI_Data[General index])," ")</f>
        <v>140.1</v>
      </c>
      <c r="E38" s="29">
        <f t="shared" si="1"/>
        <v>7.3518915060671031</v>
      </c>
    </row>
    <row r="39" spans="1:5" x14ac:dyDescent="0.25">
      <c r="A39" s="22">
        <f t="shared" si="2"/>
        <v>43831</v>
      </c>
      <c r="B39" s="23">
        <f t="shared" si="0"/>
        <v>2020</v>
      </c>
      <c r="C39" s="24" cm="1">
        <f t="array" ref="C39">_xlfn.IFNA(_xlfn.XLOOKUP(1,(CPI_Data[Year]=YEAR(A39))*(CPI_Data[Month]=TEXT(A39,"mmmm"))*(CPI_Data[Sector]="Rural+Urban"),CPI_Data[General index]),"")</f>
        <v>150.19999999999999</v>
      </c>
      <c r="D39" s="24" cm="1">
        <f t="array" ref="D39">_xlfn.IFNA(_xlfn.XLOOKUP(1,(CPI_Data[Year]=YEAR(A39)-1)*(CPI_Data[Month]=TEXT(A39,"mmmm"))*(CPI_Data[Sector]="Rural+Urban"),CPI_Data[General index])," ")</f>
        <v>139.6</v>
      </c>
      <c r="E39" s="29">
        <f t="shared" si="1"/>
        <v>7.5931232091690504</v>
      </c>
    </row>
    <row r="40" spans="1:5" x14ac:dyDescent="0.25">
      <c r="A40" s="22">
        <f t="shared" si="2"/>
        <v>43862</v>
      </c>
      <c r="B40" s="23">
        <f t="shared" si="0"/>
        <v>2020</v>
      </c>
      <c r="C40" s="24" cm="1">
        <f t="array" ref="C40">_xlfn.IFNA(_xlfn.XLOOKUP(1,(CPI_Data[Year]=YEAR(A40))*(CPI_Data[Month]=TEXT(A40,"mmmm"))*(CPI_Data[Sector]="Rural+Urban"),CPI_Data[General index]),"")</f>
        <v>149.1</v>
      </c>
      <c r="D40" s="24" cm="1">
        <f t="array" ref="D40">_xlfn.IFNA(_xlfn.XLOOKUP(1,(CPI_Data[Year]=YEAR(A40)-1)*(CPI_Data[Month]=TEXT(A40,"mmmm"))*(CPI_Data[Sector]="Rural+Urban"),CPI_Data[General index])," ")</f>
        <v>139.9</v>
      </c>
      <c r="E40" s="29">
        <f t="shared" si="1"/>
        <v>6.5761258041458106</v>
      </c>
    </row>
    <row r="41" spans="1:5" x14ac:dyDescent="0.25">
      <c r="A41" s="22">
        <f t="shared" si="2"/>
        <v>43891</v>
      </c>
      <c r="B41" s="23">
        <f t="shared" si="0"/>
        <v>2020</v>
      </c>
      <c r="C41" s="24" cm="1">
        <f t="array" ref="C41">_xlfn.IFNA(_xlfn.XLOOKUP(1,(CPI_Data[Year]=YEAR(A41))*(CPI_Data[Month]=TEXT(A41,"mmmm"))*(CPI_Data[Sector]="Rural+Urban"),CPI_Data[General index]),"")</f>
        <v>148.6</v>
      </c>
      <c r="D41" s="24" cm="1">
        <f t="array" ref="D41">_xlfn.IFNA(_xlfn.XLOOKUP(1,(CPI_Data[Year]=YEAR(A41)-1)*(CPI_Data[Month]=TEXT(A41,"mmmm"))*(CPI_Data[Sector]="Rural+Urban"),CPI_Data[General index])," ")</f>
        <v>140.4</v>
      </c>
      <c r="E41" s="29">
        <f t="shared" si="1"/>
        <v>5.8404558404558315</v>
      </c>
    </row>
    <row r="42" spans="1:5" x14ac:dyDescent="0.25">
      <c r="A42" s="22">
        <f t="shared" si="2"/>
        <v>43922</v>
      </c>
      <c r="B42" s="23">
        <f t="shared" si="0"/>
        <v>2020</v>
      </c>
      <c r="C42" s="24" t="str" cm="1">
        <f t="array" ref="C42">_xlfn.IFNA(_xlfn.XLOOKUP(1,(CPI_Data[Year]=YEAR(A42))*(CPI_Data[Month]=TEXT(A42,"mmmm"))*(CPI_Data[Sector]="Rural+Urban"),CPI_Data[General index]),"")</f>
        <v>NA</v>
      </c>
      <c r="D42" s="24" t="str" cm="1">
        <f t="array" ref="D42">_xlfn.IFNA(_xlfn.XLOOKUP(1,(CPI_Data[Year]=YEAR(A42)-1)*(CPI_Data[Month]=TEXT(A42,"mmmm"))*(CPI_Data[Sector]="Rural+Urban"),CPI_Data[General index])," ")</f>
        <v xml:space="preserve"> </v>
      </c>
      <c r="E42" s="29" t="str">
        <f t="shared" si="1"/>
        <v/>
      </c>
    </row>
    <row r="43" spans="1:5" x14ac:dyDescent="0.25">
      <c r="A43" s="22">
        <f t="shared" si="2"/>
        <v>43952</v>
      </c>
      <c r="B43" s="23">
        <f t="shared" si="0"/>
        <v>2020</v>
      </c>
      <c r="C43" s="24" t="str" cm="1">
        <f t="array" ref="C43">_xlfn.IFNA(_xlfn.XLOOKUP(1,(CPI_Data[Year]=YEAR(A43))*(CPI_Data[Month]=TEXT(A43,"mmmm"))*(CPI_Data[Sector]="Rural+Urban"),CPI_Data[General index]),"")</f>
        <v>NA</v>
      </c>
      <c r="D43" s="24" cm="1">
        <f t="array" ref="D43">_xlfn.IFNA(_xlfn.XLOOKUP(1,(CPI_Data[Year]=YEAR(A43)-1)*(CPI_Data[Month]=TEXT(A43,"mmmm"))*(CPI_Data[Sector]="Rural+Urban"),CPI_Data[General index])," ")</f>
        <v>142</v>
      </c>
      <c r="E43" s="29" t="str">
        <f t="shared" si="1"/>
        <v/>
      </c>
    </row>
    <row r="44" spans="1:5" x14ac:dyDescent="0.25">
      <c r="A44" s="22">
        <f t="shared" si="2"/>
        <v>43983</v>
      </c>
      <c r="B44" s="23">
        <f t="shared" si="0"/>
        <v>2020</v>
      </c>
      <c r="C44" s="24" cm="1">
        <f t="array" ref="C44">_xlfn.IFNA(_xlfn.XLOOKUP(1,(CPI_Data[Year]=YEAR(A44))*(CPI_Data[Month]=TEXT(A44,"mmmm"))*(CPI_Data[Sector]="Rural+Urban"),CPI_Data[General index]),"")</f>
        <v>151.80000000000001</v>
      </c>
      <c r="D44" s="24" cm="1">
        <f t="array" ref="D44">_xlfn.IFNA(_xlfn.XLOOKUP(1,(CPI_Data[Year]=YEAR(A44)-1)*(CPI_Data[Month]=TEXT(A44,"mmmm"))*(CPI_Data[Sector]="Rural+Urban"),CPI_Data[General index])," ")</f>
        <v>142.9</v>
      </c>
      <c r="E44" s="29">
        <f t="shared" si="1"/>
        <v>6.2281315605318444</v>
      </c>
    </row>
    <row r="45" spans="1:5" x14ac:dyDescent="0.25">
      <c r="A45" s="22">
        <f t="shared" si="2"/>
        <v>44013</v>
      </c>
      <c r="B45" s="23">
        <f t="shared" si="0"/>
        <v>2020</v>
      </c>
      <c r="C45" s="24" cm="1">
        <f t="array" ref="C45">_xlfn.IFNA(_xlfn.XLOOKUP(1,(CPI_Data[Year]=YEAR(A45))*(CPI_Data[Month]=TEXT(A45,"mmmm"))*(CPI_Data[Sector]="Rural+Urban"),CPI_Data[General index]),"")</f>
        <v>151.80000000000001</v>
      </c>
      <c r="D45" s="24" cm="1">
        <f t="array" ref="D45">_xlfn.IFNA(_xlfn.XLOOKUP(1,(CPI_Data[Year]=YEAR(A45)-1)*(CPI_Data[Month]=TEXT(A45,"mmmm"))*(CPI_Data[Sector]="Rural+Urban"),CPI_Data[General index])," ")</f>
        <v>144.19999999999999</v>
      </c>
      <c r="E45" s="29">
        <f t="shared" si="1"/>
        <v>5.27045769764218</v>
      </c>
    </row>
    <row r="46" spans="1:5" x14ac:dyDescent="0.25">
      <c r="A46" s="22">
        <f t="shared" si="2"/>
        <v>44044</v>
      </c>
      <c r="B46" s="23">
        <f t="shared" si="0"/>
        <v>2020</v>
      </c>
      <c r="C46" s="24" cm="1">
        <f t="array" ref="C46">_xlfn.IFNA(_xlfn.XLOOKUP(1,(CPI_Data[Year]=YEAR(A46))*(CPI_Data[Month]=TEXT(A46,"mmmm"))*(CPI_Data[Sector]="Rural+Urban"),CPI_Data[General index]),"")</f>
        <v>153.9</v>
      </c>
      <c r="D46" s="24" cm="1">
        <f t="array" ref="D46">_xlfn.IFNA(_xlfn.XLOOKUP(1,(CPI_Data[Year]=YEAR(A46)-1)*(CPI_Data[Month]=TEXT(A46,"mmmm"))*(CPI_Data[Sector]="Rural+Urban"),CPI_Data[General index])," ")</f>
        <v>145</v>
      </c>
      <c r="E46" s="29">
        <f t="shared" si="1"/>
        <v>6.1379310344827624</v>
      </c>
    </row>
    <row r="47" spans="1:5" x14ac:dyDescent="0.25">
      <c r="A47" s="22">
        <f t="shared" si="2"/>
        <v>44075</v>
      </c>
      <c r="B47" s="23">
        <f t="shared" si="0"/>
        <v>2020</v>
      </c>
      <c r="C47" s="24" cm="1">
        <f t="array" ref="C47">_xlfn.IFNA(_xlfn.XLOOKUP(1,(CPI_Data[Year]=YEAR(A47))*(CPI_Data[Month]=TEXT(A47,"mmmm"))*(CPI_Data[Sector]="Rural+Urban"),CPI_Data[General index]),"")</f>
        <v>154.69999999999999</v>
      </c>
      <c r="D47" s="24" cm="1">
        <f t="array" ref="D47">_xlfn.IFNA(_xlfn.XLOOKUP(1,(CPI_Data[Year]=YEAR(A47)-1)*(CPI_Data[Month]=TEXT(A47,"mmmm"))*(CPI_Data[Sector]="Rural+Urban"),CPI_Data[General index])," ")</f>
        <v>145.80000000000001</v>
      </c>
      <c r="E47" s="29">
        <f t="shared" si="1"/>
        <v>6.1042524005486802</v>
      </c>
    </row>
    <row r="48" spans="1:5" x14ac:dyDescent="0.25">
      <c r="A48" s="22">
        <f t="shared" si="2"/>
        <v>44105</v>
      </c>
      <c r="B48" s="23">
        <f t="shared" si="0"/>
        <v>2020</v>
      </c>
      <c r="C48" s="24" cm="1">
        <f t="array" ref="C48">_xlfn.IFNA(_xlfn.XLOOKUP(1,(CPI_Data[Year]=YEAR(A48))*(CPI_Data[Month]=TEXT(A48,"mmmm"))*(CPI_Data[Sector]="Rural+Urban"),CPI_Data[General index]),"")</f>
        <v>156.4</v>
      </c>
      <c r="D48" s="24" cm="1">
        <f t="array" ref="D48">_xlfn.IFNA(_xlfn.XLOOKUP(1,(CPI_Data[Year]=YEAR(A48)-1)*(CPI_Data[Month]=TEXT(A48,"mmmm"))*(CPI_Data[Sector]="Rural+Urban"),CPI_Data[General index])," ")</f>
        <v>147.19999999999999</v>
      </c>
      <c r="E48" s="29">
        <f t="shared" si="1"/>
        <v>6.2500000000000124</v>
      </c>
    </row>
    <row r="49" spans="1:5" x14ac:dyDescent="0.25">
      <c r="A49" s="22">
        <f t="shared" si="2"/>
        <v>44136</v>
      </c>
      <c r="B49" s="23">
        <f t="shared" si="0"/>
        <v>2020</v>
      </c>
      <c r="C49" s="24" cm="1">
        <f t="array" ref="C49">_xlfn.IFNA(_xlfn.XLOOKUP(1,(CPI_Data[Year]=YEAR(A49))*(CPI_Data[Month]=TEXT(A49,"mmmm"))*(CPI_Data[Sector]="Rural+Urban"),CPI_Data[General index]),"")</f>
        <v>158.4</v>
      </c>
      <c r="D49" s="24" cm="1">
        <f t="array" ref="D49">_xlfn.IFNA(_xlfn.XLOOKUP(1,(CPI_Data[Year]=YEAR(A49)-1)*(CPI_Data[Month]=TEXT(A49,"mmmm"))*(CPI_Data[Sector]="Rural+Urban"),CPI_Data[General index])," ")</f>
        <v>148.6</v>
      </c>
      <c r="E49" s="29">
        <f t="shared" si="1"/>
        <v>6.594885598923292</v>
      </c>
    </row>
    <row r="50" spans="1:5" x14ac:dyDescent="0.25">
      <c r="A50" s="22">
        <f t="shared" si="2"/>
        <v>44166</v>
      </c>
      <c r="B50" s="23">
        <f t="shared" si="0"/>
        <v>2020</v>
      </c>
      <c r="C50" s="24" cm="1">
        <f t="array" ref="C50">_xlfn.IFNA(_xlfn.XLOOKUP(1,(CPI_Data[Year]=YEAR(A50))*(CPI_Data[Month]=TEXT(A50,"mmmm"))*(CPI_Data[Sector]="Rural+Urban"),CPI_Data[General index]),"")</f>
        <v>158.9</v>
      </c>
      <c r="D50" s="24" cm="1">
        <f t="array" ref="D50">_xlfn.IFNA(_xlfn.XLOOKUP(1,(CPI_Data[Year]=YEAR(A50)-1)*(CPI_Data[Month]=TEXT(A50,"mmmm"))*(CPI_Data[Sector]="Rural+Urban"),CPI_Data[General index])," ")</f>
        <v>150.4</v>
      </c>
      <c r="E50" s="29">
        <f t="shared" si="1"/>
        <v>5.6515957446808507</v>
      </c>
    </row>
    <row r="51" spans="1:5" x14ac:dyDescent="0.25">
      <c r="A51" s="22">
        <f t="shared" si="2"/>
        <v>44197</v>
      </c>
      <c r="B51" s="23">
        <f t="shared" si="0"/>
        <v>2021</v>
      </c>
      <c r="C51" s="24" cm="1">
        <f t="array" ref="C51">_xlfn.IFNA(_xlfn.XLOOKUP(1,(CPI_Data[Year]=YEAR(A51))*(CPI_Data[Month]=TEXT(A51,"mmmm"))*(CPI_Data[Sector]="Rural+Urban"),CPI_Data[General index]),"")</f>
        <v>157.30000000000001</v>
      </c>
      <c r="D51" s="24" cm="1">
        <f t="array" ref="D51">_xlfn.IFNA(_xlfn.XLOOKUP(1,(CPI_Data[Year]=YEAR(A51)-1)*(CPI_Data[Month]=TEXT(A51,"mmmm"))*(CPI_Data[Sector]="Rural+Urban"),CPI_Data[General index])," ")</f>
        <v>150.19999999999999</v>
      </c>
      <c r="E51" s="29">
        <f t="shared" si="1"/>
        <v>4.7270306258322385</v>
      </c>
    </row>
    <row r="52" spans="1:5" x14ac:dyDescent="0.25">
      <c r="A52" s="22">
        <f t="shared" si="2"/>
        <v>44228</v>
      </c>
      <c r="B52" s="23">
        <f t="shared" si="0"/>
        <v>2021</v>
      </c>
      <c r="C52" s="24" cm="1">
        <f t="array" ref="C52">_xlfn.IFNA(_xlfn.XLOOKUP(1,(CPI_Data[Year]=YEAR(A52))*(CPI_Data[Month]=TEXT(A52,"mmmm"))*(CPI_Data[Sector]="Rural+Urban"),CPI_Data[General index]),"")</f>
        <v>156.6</v>
      </c>
      <c r="D52" s="24" cm="1">
        <f t="array" ref="D52">_xlfn.IFNA(_xlfn.XLOOKUP(1,(CPI_Data[Year]=YEAR(A52)-1)*(CPI_Data[Month]=TEXT(A52,"mmmm"))*(CPI_Data[Sector]="Rural+Urban"),CPI_Data[General index])," ")</f>
        <v>149.1</v>
      </c>
      <c r="E52" s="29">
        <f t="shared" si="1"/>
        <v>5.0301810865191152</v>
      </c>
    </row>
    <row r="53" spans="1:5" x14ac:dyDescent="0.25">
      <c r="A53" s="22">
        <f t="shared" si="2"/>
        <v>44256</v>
      </c>
      <c r="B53" s="23">
        <f t="shared" si="0"/>
        <v>2021</v>
      </c>
      <c r="C53" s="24" cm="1">
        <f t="array" ref="C53">_xlfn.IFNA(_xlfn.XLOOKUP(1,(CPI_Data[Year]=YEAR(A53))*(CPI_Data[Month]=TEXT(A53,"mmmm"))*(CPI_Data[Sector]="Rural+Urban"),CPI_Data[General index]),"")</f>
        <v>156.80000000000001</v>
      </c>
      <c r="D53" s="24" cm="1">
        <f t="array" ref="D53">_xlfn.IFNA(_xlfn.XLOOKUP(1,(CPI_Data[Year]=YEAR(A53)-1)*(CPI_Data[Month]=TEXT(A53,"mmmm"))*(CPI_Data[Sector]="Rural+Urban"),CPI_Data[General index])," ")</f>
        <v>148.6</v>
      </c>
      <c r="E53" s="29">
        <f t="shared" si="1"/>
        <v>5.5181695827725559</v>
      </c>
    </row>
    <row r="54" spans="1:5" x14ac:dyDescent="0.25">
      <c r="A54" s="22">
        <f t="shared" si="2"/>
        <v>44287</v>
      </c>
      <c r="B54" s="23">
        <f t="shared" si="0"/>
        <v>2021</v>
      </c>
      <c r="C54" s="24" cm="1">
        <f t="array" ref="C54">_xlfn.IFNA(_xlfn.XLOOKUP(1,(CPI_Data[Year]=YEAR(A54))*(CPI_Data[Month]=TEXT(A54,"mmmm"))*(CPI_Data[Sector]="Rural+Urban"),CPI_Data[General index]),"")</f>
        <v>157.80000000000001</v>
      </c>
      <c r="D54" s="24" t="str" cm="1">
        <f t="array" ref="D54">_xlfn.IFNA(_xlfn.XLOOKUP(1,(CPI_Data[Year]=YEAR(A54)-1)*(CPI_Data[Month]=TEXT(A54,"mmmm"))*(CPI_Data[Sector]="Rural+Urban"),CPI_Data[General index])," ")</f>
        <v>NA</v>
      </c>
      <c r="E54" s="29" t="str">
        <f t="shared" si="1"/>
        <v/>
      </c>
    </row>
    <row r="55" spans="1:5" x14ac:dyDescent="0.25">
      <c r="A55" s="22">
        <f t="shared" si="2"/>
        <v>44317</v>
      </c>
      <c r="B55" s="23">
        <f t="shared" si="0"/>
        <v>2021</v>
      </c>
      <c r="C55" s="24" cm="1">
        <f t="array" ref="C55">_xlfn.IFNA(_xlfn.XLOOKUP(1,(CPI_Data[Year]=YEAR(A55))*(CPI_Data[Month]=TEXT(A55,"mmmm"))*(CPI_Data[Sector]="Rural+Urban"),CPI_Data[General index]),"")</f>
        <v>160.4</v>
      </c>
      <c r="D55" s="24" t="str" cm="1">
        <f t="array" ref="D55">_xlfn.IFNA(_xlfn.XLOOKUP(1,(CPI_Data[Year]=YEAR(A55)-1)*(CPI_Data[Month]=TEXT(A55,"mmmm"))*(CPI_Data[Sector]="Rural+Urban"),CPI_Data[General index])," ")</f>
        <v>NA</v>
      </c>
      <c r="E55" s="29" t="str">
        <f t="shared" si="1"/>
        <v/>
      </c>
    </row>
    <row r="56" spans="1:5" x14ac:dyDescent="0.25">
      <c r="A56" s="22">
        <f t="shared" si="2"/>
        <v>44348</v>
      </c>
      <c r="B56" s="23">
        <f t="shared" si="0"/>
        <v>2021</v>
      </c>
      <c r="C56" s="24" cm="1">
        <f t="array" ref="C56">_xlfn.IFNA(_xlfn.XLOOKUP(1,(CPI_Data[Year]=YEAR(A56))*(CPI_Data[Month]=TEXT(A56,"mmmm"))*(CPI_Data[Sector]="Rural+Urban"),CPI_Data[General index]),"")</f>
        <v>161.30000000000001</v>
      </c>
      <c r="D56" s="24" cm="1">
        <f t="array" ref="D56">_xlfn.IFNA(_xlfn.XLOOKUP(1,(CPI_Data[Year]=YEAR(A56)-1)*(CPI_Data[Month]=TEXT(A56,"mmmm"))*(CPI_Data[Sector]="Rural+Urban"),CPI_Data[General index])," ")</f>
        <v>151.80000000000001</v>
      </c>
      <c r="E56" s="29">
        <f t="shared" si="1"/>
        <v>6.2582345191040831</v>
      </c>
    </row>
    <row r="57" spans="1:5" x14ac:dyDescent="0.25">
      <c r="A57" s="22">
        <f t="shared" si="2"/>
        <v>44378</v>
      </c>
      <c r="B57" s="23">
        <f t="shared" si="0"/>
        <v>2021</v>
      </c>
      <c r="C57" s="24" cm="1">
        <f t="array" ref="C57">_xlfn.IFNA(_xlfn.XLOOKUP(1,(CPI_Data[Year]=YEAR(A57))*(CPI_Data[Month]=TEXT(A57,"mmmm"))*(CPI_Data[Sector]="Rural+Urban"),CPI_Data[General index]),"")</f>
        <v>162.5</v>
      </c>
      <c r="D57" s="24" cm="1">
        <f t="array" ref="D57">_xlfn.IFNA(_xlfn.XLOOKUP(1,(CPI_Data[Year]=YEAR(A57)-1)*(CPI_Data[Month]=TEXT(A57,"mmmm"))*(CPI_Data[Sector]="Rural+Urban"),CPI_Data[General index])," ")</f>
        <v>151.80000000000001</v>
      </c>
      <c r="E57" s="29">
        <f t="shared" si="1"/>
        <v>7.0487483530961708</v>
      </c>
    </row>
    <row r="58" spans="1:5" x14ac:dyDescent="0.25">
      <c r="A58" s="22">
        <f t="shared" si="2"/>
        <v>44409</v>
      </c>
      <c r="B58" s="23">
        <f t="shared" si="0"/>
        <v>2021</v>
      </c>
      <c r="C58" s="24" cm="1">
        <f t="array" ref="C58">_xlfn.IFNA(_xlfn.XLOOKUP(1,(CPI_Data[Year]=YEAR(A58))*(CPI_Data[Month]=TEXT(A58,"mmmm"))*(CPI_Data[Sector]="Rural+Urban"),CPI_Data[General index]),"")</f>
        <v>163.19999999999999</v>
      </c>
      <c r="D58" s="24" cm="1">
        <f t="array" ref="D58">_xlfn.IFNA(_xlfn.XLOOKUP(1,(CPI_Data[Year]=YEAR(A58)-1)*(CPI_Data[Month]=TEXT(A58,"mmmm"))*(CPI_Data[Sector]="Rural+Urban"),CPI_Data[General index])," ")</f>
        <v>153.9</v>
      </c>
      <c r="E58" s="29">
        <f t="shared" si="1"/>
        <v>6.0428849902534001</v>
      </c>
    </row>
    <row r="59" spans="1:5" x14ac:dyDescent="0.25">
      <c r="A59" s="22">
        <f t="shared" si="2"/>
        <v>44440</v>
      </c>
      <c r="B59" s="23">
        <f t="shared" si="0"/>
        <v>2021</v>
      </c>
      <c r="C59" s="24" cm="1">
        <f t="array" ref="C59">_xlfn.IFNA(_xlfn.XLOOKUP(1,(CPI_Data[Year]=YEAR(A59))*(CPI_Data[Month]=TEXT(A59,"mmmm"))*(CPI_Data[Sector]="Rural+Urban"),CPI_Data[General index]),"")</f>
        <v>163.19999999999999</v>
      </c>
      <c r="D59" s="24" cm="1">
        <f t="array" ref="D59">_xlfn.IFNA(_xlfn.XLOOKUP(1,(CPI_Data[Year]=YEAR(A59)-1)*(CPI_Data[Month]=TEXT(A59,"mmmm"))*(CPI_Data[Sector]="Rural+Urban"),CPI_Data[General index])," ")</f>
        <v>154.69999999999999</v>
      </c>
      <c r="E59" s="29">
        <f t="shared" si="1"/>
        <v>5.4945054945054954</v>
      </c>
    </row>
    <row r="60" spans="1:5" x14ac:dyDescent="0.25">
      <c r="A60" s="22">
        <f t="shared" si="2"/>
        <v>44470</v>
      </c>
      <c r="B60" s="23">
        <f t="shared" si="0"/>
        <v>2021</v>
      </c>
      <c r="C60" s="24" cm="1">
        <f t="array" ref="C60">_xlfn.IFNA(_xlfn.XLOOKUP(1,(CPI_Data[Year]=YEAR(A60))*(CPI_Data[Month]=TEXT(A60,"mmmm"))*(CPI_Data[Sector]="Rural+Urban"),CPI_Data[General index]),"")</f>
        <v>165.5</v>
      </c>
      <c r="D60" s="24" cm="1">
        <f t="array" ref="D60">_xlfn.IFNA(_xlfn.XLOOKUP(1,(CPI_Data[Year]=YEAR(A60)-1)*(CPI_Data[Month]=TEXT(A60,"mmmm"))*(CPI_Data[Sector]="Rural+Urban"),CPI_Data[General index])," ")</f>
        <v>156.4</v>
      </c>
      <c r="E60" s="29">
        <f t="shared" si="1"/>
        <v>5.8184143222506357</v>
      </c>
    </row>
    <row r="61" spans="1:5" x14ac:dyDescent="0.25">
      <c r="A61" s="22">
        <f t="shared" si="2"/>
        <v>44501</v>
      </c>
      <c r="B61" s="23">
        <f t="shared" si="0"/>
        <v>2021</v>
      </c>
      <c r="C61" s="24" cm="1">
        <f t="array" ref="C61">_xlfn.IFNA(_xlfn.XLOOKUP(1,(CPI_Data[Year]=YEAR(A61))*(CPI_Data[Month]=TEXT(A61,"mmmm"))*(CPI_Data[Sector]="Rural+Urban"),CPI_Data[General index]),"")</f>
        <v>166.7</v>
      </c>
      <c r="D61" s="24" cm="1">
        <f t="array" ref="D61">_xlfn.IFNA(_xlfn.XLOOKUP(1,(CPI_Data[Year]=YEAR(A61)-1)*(CPI_Data[Month]=TEXT(A61,"mmmm"))*(CPI_Data[Sector]="Rural+Urban"),CPI_Data[General index])," ")</f>
        <v>158.4</v>
      </c>
      <c r="E61" s="29">
        <f t="shared" si="1"/>
        <v>5.239898989898979</v>
      </c>
    </row>
    <row r="62" spans="1:5" x14ac:dyDescent="0.25">
      <c r="A62" s="22">
        <f t="shared" si="2"/>
        <v>44531</v>
      </c>
      <c r="B62" s="23">
        <f t="shared" si="0"/>
        <v>2021</v>
      </c>
      <c r="C62" s="24" cm="1">
        <f t="array" ref="C62">_xlfn.IFNA(_xlfn.XLOOKUP(1,(CPI_Data[Year]=YEAR(A62))*(CPI_Data[Month]=TEXT(A62,"mmmm"))*(CPI_Data[Sector]="Rural+Urban"),CPI_Data[General index]),"")</f>
        <v>166.2</v>
      </c>
      <c r="D62" s="24" cm="1">
        <f t="array" ref="D62">_xlfn.IFNA(_xlfn.XLOOKUP(1,(CPI_Data[Year]=YEAR(A62)-1)*(CPI_Data[Month]=TEXT(A62,"mmmm"))*(CPI_Data[Sector]="Rural+Urban"),CPI_Data[General index])," ")</f>
        <v>158.9</v>
      </c>
      <c r="E62" s="29">
        <f t="shared" si="1"/>
        <v>4.5940843297671385</v>
      </c>
    </row>
    <row r="63" spans="1:5" x14ac:dyDescent="0.25">
      <c r="A63" s="22">
        <f t="shared" si="2"/>
        <v>44562</v>
      </c>
      <c r="B63" s="23">
        <f t="shared" si="0"/>
        <v>2022</v>
      </c>
      <c r="C63" s="24" cm="1">
        <f t="array" ref="C63">_xlfn.IFNA(_xlfn.XLOOKUP(1,(CPI_Data[Year]=YEAR(A63))*(CPI_Data[Month]=TEXT(A63,"mmmm"))*(CPI_Data[Sector]="Rural+Urban"),CPI_Data[General index]),"")</f>
        <v>165.7</v>
      </c>
      <c r="D63" s="24" cm="1">
        <f t="array" ref="D63">_xlfn.IFNA(_xlfn.XLOOKUP(1,(CPI_Data[Year]=YEAR(A63)-1)*(CPI_Data[Month]=TEXT(A63,"mmmm"))*(CPI_Data[Sector]="Rural+Urban"),CPI_Data[General index])," ")</f>
        <v>157.30000000000001</v>
      </c>
      <c r="E63" s="29">
        <f t="shared" si="1"/>
        <v>5.3401144310235074</v>
      </c>
    </row>
    <row r="64" spans="1:5" x14ac:dyDescent="0.25">
      <c r="A64" s="22">
        <f>EDATE(A63,1)</f>
        <v>44593</v>
      </c>
      <c r="B64" s="23">
        <f t="shared" si="0"/>
        <v>2022</v>
      </c>
      <c r="C64" s="24" cm="1">
        <f t="array" ref="C64">_xlfn.IFNA(_xlfn.XLOOKUP(1,(CPI_Data[Year]=YEAR(A64))*(CPI_Data[Month]=TEXT(A64,"mmmm"))*(CPI_Data[Sector]="Rural+Urban"),CPI_Data[General index]),"")</f>
        <v>166.1</v>
      </c>
      <c r="D64" s="24" cm="1">
        <f t="array" ref="D64">_xlfn.IFNA(_xlfn.XLOOKUP(1,(CPI_Data[Year]=YEAR(A64)-1)*(CPI_Data[Month]=TEXT(A64,"mmmm"))*(CPI_Data[Sector]="Rural+Urban"),CPI_Data[General index])," ")</f>
        <v>156.6</v>
      </c>
      <c r="E64" s="29">
        <f t="shared" si="1"/>
        <v>6.0664112388250322</v>
      </c>
    </row>
    <row r="65" spans="1:5" x14ac:dyDescent="0.25">
      <c r="A65" s="22">
        <f t="shared" si="2"/>
        <v>44621</v>
      </c>
      <c r="B65" s="23">
        <f t="shared" si="0"/>
        <v>2022</v>
      </c>
      <c r="C65" s="24" cm="1">
        <f t="array" ref="C65">_xlfn.IFNA(_xlfn.XLOOKUP(1,(CPI_Data[Year]=YEAR(A65))*(CPI_Data[Month]=TEXT(A65,"mmmm"))*(CPI_Data[Sector]="Rural+Urban"),CPI_Data[General index]),"")</f>
        <v>167.7</v>
      </c>
      <c r="D65" s="24" cm="1">
        <f t="array" ref="D65">_xlfn.IFNA(_xlfn.XLOOKUP(1,(CPI_Data[Year]=YEAR(A65)-1)*(CPI_Data[Month]=TEXT(A65,"mmmm"))*(CPI_Data[Sector]="Rural+Urban"),CPI_Data[General index])," ")</f>
        <v>156.80000000000001</v>
      </c>
      <c r="E65" s="29">
        <f t="shared" si="1"/>
        <v>6.9515306122448823</v>
      </c>
    </row>
    <row r="66" spans="1:5" x14ac:dyDescent="0.25">
      <c r="A66" s="22">
        <f t="shared" si="2"/>
        <v>44652</v>
      </c>
      <c r="B66" s="23">
        <f t="shared" si="0"/>
        <v>2022</v>
      </c>
      <c r="C66" s="24" cm="1">
        <f t="array" ref="C66">_xlfn.IFNA(_xlfn.XLOOKUP(1,(CPI_Data[Year]=YEAR(A66))*(CPI_Data[Month]=TEXT(A66,"mmmm"))*(CPI_Data[Sector]="Rural+Urban"),CPI_Data[General index]),"")</f>
        <v>170.1</v>
      </c>
      <c r="D66" s="24" cm="1">
        <f t="array" ref="D66">_xlfn.IFNA(_xlfn.XLOOKUP(1,(CPI_Data[Year]=YEAR(A66)-1)*(CPI_Data[Month]=TEXT(A66,"mmmm"))*(CPI_Data[Sector]="Rural+Urban"),CPI_Data[General index])," ")</f>
        <v>157.80000000000001</v>
      </c>
      <c r="E66" s="29">
        <f t="shared" si="1"/>
        <v>7.7946768060836389</v>
      </c>
    </row>
    <row r="67" spans="1:5" x14ac:dyDescent="0.25">
      <c r="A67" s="22">
        <f t="shared" si="2"/>
        <v>44682</v>
      </c>
      <c r="B67" s="23">
        <f t="shared" si="0"/>
        <v>2022</v>
      </c>
      <c r="C67" s="24" cm="1">
        <f t="array" ref="C67">_xlfn.IFNA(_xlfn.XLOOKUP(1,(CPI_Data[Year]=YEAR(A67))*(CPI_Data[Month]=TEXT(A67,"mmmm"))*(CPI_Data[Sector]="Rural+Urban"),CPI_Data[General index]),"")</f>
        <v>171.7</v>
      </c>
      <c r="D67" s="24" cm="1">
        <f t="array" ref="D67">_xlfn.IFNA(_xlfn.XLOOKUP(1,(CPI_Data[Year]=YEAR(A67)-1)*(CPI_Data[Month]=TEXT(A67,"mmmm"))*(CPI_Data[Sector]="Rural+Urban"),CPI_Data[General index])," ")</f>
        <v>160.4</v>
      </c>
      <c r="E67" s="29">
        <f t="shared" si="1"/>
        <v>7.044887780548617</v>
      </c>
    </row>
    <row r="68" spans="1:5" x14ac:dyDescent="0.25">
      <c r="A68" s="22">
        <f t="shared" si="2"/>
        <v>44713</v>
      </c>
      <c r="B68" s="23">
        <f t="shared" ref="B68:B78" si="3">YEAR(A68)</f>
        <v>2022</v>
      </c>
      <c r="C68" s="24" cm="1">
        <f t="array" ref="C68">_xlfn.IFNA(_xlfn.XLOOKUP(1,(CPI_Data[Year]=YEAR(A68))*(CPI_Data[Month]=TEXT(A68,"mmmm"))*(CPI_Data[Sector]="Rural+Urban"),CPI_Data[General index]),"")</f>
        <v>172.6</v>
      </c>
      <c r="D68" s="24" cm="1">
        <f t="array" ref="D68">_xlfn.IFNA(_xlfn.XLOOKUP(1,(CPI_Data[Year]=YEAR(A68)-1)*(CPI_Data[Month]=TEXT(A68,"mmmm"))*(CPI_Data[Sector]="Rural+Urban"),CPI_Data[General index])," ")</f>
        <v>161.30000000000001</v>
      </c>
      <c r="E68" s="29">
        <f t="shared" ref="E68:E78" si="4">IFERROR((C68-D68)/D68*100,"")</f>
        <v>7.0055796652200755</v>
      </c>
    </row>
    <row r="69" spans="1:5" x14ac:dyDescent="0.25">
      <c r="A69" s="22">
        <f t="shared" ref="A69:A70" si="5">EDATE(A68,1)</f>
        <v>44743</v>
      </c>
      <c r="B69" s="23">
        <f t="shared" si="3"/>
        <v>2022</v>
      </c>
      <c r="C69" s="24" cm="1">
        <f t="array" ref="C69">_xlfn.IFNA(_xlfn.XLOOKUP(1,(CPI_Data[Year]=YEAR(A69))*(CPI_Data[Month]=TEXT(A69,"mmmm"))*(CPI_Data[Sector]="Rural+Urban"),CPI_Data[General index]),"")</f>
        <v>173.4</v>
      </c>
      <c r="D69" s="24" cm="1">
        <f t="array" ref="D69">_xlfn.IFNA(_xlfn.XLOOKUP(1,(CPI_Data[Year]=YEAR(A69)-1)*(CPI_Data[Month]=TEXT(A69,"mmmm"))*(CPI_Data[Sector]="Rural+Urban"),CPI_Data[General index])," ")</f>
        <v>162.5</v>
      </c>
      <c r="E69" s="29">
        <f t="shared" si="4"/>
        <v>6.7076923076923114</v>
      </c>
    </row>
    <row r="70" spans="1:5" x14ac:dyDescent="0.25">
      <c r="A70" s="22">
        <f t="shared" si="5"/>
        <v>44774</v>
      </c>
      <c r="B70" s="23">
        <f t="shared" si="3"/>
        <v>2022</v>
      </c>
      <c r="C70" s="24" cm="1">
        <f t="array" ref="C70">_xlfn.IFNA(_xlfn.XLOOKUP(1,(CPI_Data[Year]=YEAR(A70))*(CPI_Data[Month]=TEXT(A70,"mmmm"))*(CPI_Data[Sector]="Rural+Urban"),CPI_Data[General index]),"")</f>
        <v>174.3</v>
      </c>
      <c r="D70" s="24" cm="1">
        <f t="array" ref="D70">_xlfn.IFNA(_xlfn.XLOOKUP(1,(CPI_Data[Year]=YEAR(A70)-1)*(CPI_Data[Month]=TEXT(A70,"mmmm"))*(CPI_Data[Sector]="Rural+Urban"),CPI_Data[General index])," ")</f>
        <v>163.19999999999999</v>
      </c>
      <c r="E70" s="29">
        <f t="shared" si="4"/>
        <v>6.8014705882353086</v>
      </c>
    </row>
    <row r="71" spans="1:5" x14ac:dyDescent="0.25">
      <c r="A71" s="22">
        <f>EDATE(A70,1)</f>
        <v>44805</v>
      </c>
      <c r="B71" s="23">
        <f t="shared" si="3"/>
        <v>2022</v>
      </c>
      <c r="C71" s="24" cm="1">
        <f t="array" ref="C71">_xlfn.IFNA(_xlfn.XLOOKUP(1,(CPI_Data[Year]=YEAR(A71))*(CPI_Data[Month]=TEXT(A71,"mmmm"))*(CPI_Data[Sector]="Rural+Urban"),CPI_Data[General index]),"")</f>
        <v>175.3</v>
      </c>
      <c r="D71" s="24" cm="1">
        <f t="array" ref="D71">_xlfn.IFNA(_xlfn.XLOOKUP(1,(CPI_Data[Year]=YEAR(A71)-1)*(CPI_Data[Month]=TEXT(A71,"mmmm"))*(CPI_Data[Sector]="Rural+Urban"),CPI_Data[General index])," ")</f>
        <v>163.19999999999999</v>
      </c>
      <c r="E71" s="29">
        <f t="shared" si="4"/>
        <v>7.4142156862745239</v>
      </c>
    </row>
    <row r="72" spans="1:5" x14ac:dyDescent="0.25">
      <c r="A72" s="22">
        <f t="shared" ref="A72:A78" si="6">EDATE(A71,1)</f>
        <v>44835</v>
      </c>
      <c r="B72" s="23">
        <f t="shared" si="3"/>
        <v>2022</v>
      </c>
      <c r="C72" s="24" cm="1">
        <f t="array" ref="C72">_xlfn.IFNA(_xlfn.XLOOKUP(1,(CPI_Data[Year]=YEAR(A72))*(CPI_Data[Month]=TEXT(A72,"mmmm"))*(CPI_Data[Sector]="Rural+Urban"),CPI_Data[General index]),"")</f>
        <v>176.7</v>
      </c>
      <c r="D72" s="24" cm="1">
        <f t="array" ref="D72">_xlfn.IFNA(_xlfn.XLOOKUP(1,(CPI_Data[Year]=YEAR(A72)-1)*(CPI_Data[Month]=TEXT(A72,"mmmm"))*(CPI_Data[Sector]="Rural+Urban"),CPI_Data[General index])," ")</f>
        <v>165.5</v>
      </c>
      <c r="E72" s="29">
        <f t="shared" si="4"/>
        <v>6.7673716012084526</v>
      </c>
    </row>
    <row r="73" spans="1:5" x14ac:dyDescent="0.25">
      <c r="A73" s="22">
        <f t="shared" si="6"/>
        <v>44866</v>
      </c>
      <c r="B73" s="23">
        <f t="shared" si="3"/>
        <v>2022</v>
      </c>
      <c r="C73" s="24" cm="1">
        <f t="array" ref="C73">_xlfn.IFNA(_xlfn.XLOOKUP(1,(CPI_Data[Year]=YEAR(A73))*(CPI_Data[Month]=TEXT(A73,"mmmm"))*(CPI_Data[Sector]="Rural+Urban"),CPI_Data[General index]),"")</f>
        <v>176.5</v>
      </c>
      <c r="D73" s="24" cm="1">
        <f t="array" ref="D73">_xlfn.IFNA(_xlfn.XLOOKUP(1,(CPI_Data[Year]=YEAR(A73)-1)*(CPI_Data[Month]=TEXT(A73,"mmmm"))*(CPI_Data[Sector]="Rural+Urban"),CPI_Data[General index])," ")</f>
        <v>166.7</v>
      </c>
      <c r="E73" s="29">
        <f t="shared" si="4"/>
        <v>5.8788242351529769</v>
      </c>
    </row>
    <row r="74" spans="1:5" x14ac:dyDescent="0.25">
      <c r="A74" s="22">
        <f t="shared" si="6"/>
        <v>44896</v>
      </c>
      <c r="B74" s="23">
        <f t="shared" si="3"/>
        <v>2022</v>
      </c>
      <c r="C74" s="24" cm="1">
        <f t="array" ref="C74">_xlfn.IFNA(_xlfn.XLOOKUP(1,(CPI_Data[Year]=YEAR(A74))*(CPI_Data[Month]=TEXT(A74,"mmmm"))*(CPI_Data[Sector]="Rural+Urban"),CPI_Data[General index]),"")</f>
        <v>175.7</v>
      </c>
      <c r="D74" s="24" cm="1">
        <f t="array" ref="D74">_xlfn.IFNA(_xlfn.XLOOKUP(1,(CPI_Data[Year]=YEAR(A74)-1)*(CPI_Data[Month]=TEXT(A74,"mmmm"))*(CPI_Data[Sector]="Rural+Urban"),CPI_Data[General index])," ")</f>
        <v>166.2</v>
      </c>
      <c r="E74" s="29">
        <f t="shared" si="4"/>
        <v>5.7160048134777384</v>
      </c>
    </row>
    <row r="75" spans="1:5" x14ac:dyDescent="0.25">
      <c r="A75" s="22">
        <f t="shared" si="6"/>
        <v>44927</v>
      </c>
      <c r="B75" s="23">
        <f t="shared" si="3"/>
        <v>2023</v>
      </c>
      <c r="C75" s="24" cm="1">
        <f t="array" ref="C75">_xlfn.IFNA(_xlfn.XLOOKUP(1,(CPI_Data[Year]=YEAR(A75))*(CPI_Data[Month]=TEXT(A75,"mmmm"))*(CPI_Data[Sector]="Rural+Urban"),CPI_Data[General index]),"")</f>
        <v>176.5</v>
      </c>
      <c r="D75" s="24" cm="1">
        <f t="array" ref="D75">_xlfn.IFNA(_xlfn.XLOOKUP(1,(CPI_Data[Year]=YEAR(A75)-1)*(CPI_Data[Month]=TEXT(A75,"mmmm"))*(CPI_Data[Sector]="Rural+Urban"),CPI_Data[General index])," ")</f>
        <v>165.7</v>
      </c>
      <c r="E75" s="29">
        <f t="shared" si="4"/>
        <v>6.5178032589016377</v>
      </c>
    </row>
    <row r="76" spans="1:5" x14ac:dyDescent="0.25">
      <c r="A76" s="22">
        <f t="shared" si="6"/>
        <v>44958</v>
      </c>
      <c r="B76" s="23">
        <f t="shared" si="3"/>
        <v>2023</v>
      </c>
      <c r="C76" s="24" cm="1">
        <f t="array" ref="C76">_xlfn.IFNA(_xlfn.XLOOKUP(1,(CPI_Data[Year]=YEAR(A76))*(CPI_Data[Month]=TEXT(A76,"mmmm"))*(CPI_Data[Sector]="Rural+Urban"),CPI_Data[General index]),"")</f>
        <v>177.2</v>
      </c>
      <c r="D76" s="24" cm="1">
        <f t="array" ref="D76">_xlfn.IFNA(_xlfn.XLOOKUP(1,(CPI_Data[Year]=YEAR(A76)-1)*(CPI_Data[Month]=TEXT(A76,"mmmm"))*(CPI_Data[Sector]="Rural+Urban"),CPI_Data[General index])," ")</f>
        <v>166.1</v>
      </c>
      <c r="E76" s="29">
        <f t="shared" si="4"/>
        <v>6.6827212522576733</v>
      </c>
    </row>
    <row r="77" spans="1:5" x14ac:dyDescent="0.25">
      <c r="A77" s="22">
        <f t="shared" si="6"/>
        <v>44986</v>
      </c>
      <c r="B77" s="23">
        <f t="shared" si="3"/>
        <v>2023</v>
      </c>
      <c r="C77" s="24" cm="1">
        <f t="array" ref="C77">_xlfn.IFNA(_xlfn.XLOOKUP(1,(CPI_Data[Year]=YEAR(A77))*(CPI_Data[Month]=TEXT(A77,"mmmm"))*(CPI_Data[Sector]="Rural+Urban"),CPI_Data[General index]),"")</f>
        <v>177.2</v>
      </c>
      <c r="D77" s="24" cm="1">
        <f t="array" ref="D77">_xlfn.IFNA(_xlfn.XLOOKUP(1,(CPI_Data[Year]=YEAR(A77)-1)*(CPI_Data[Month]=TEXT(A77,"mmmm"))*(CPI_Data[Sector]="Rural+Urban"),CPI_Data[General index])," ")</f>
        <v>167.7</v>
      </c>
      <c r="E77" s="29">
        <f t="shared" si="4"/>
        <v>5.6648777579010146</v>
      </c>
    </row>
    <row r="78" spans="1:5" x14ac:dyDescent="0.25">
      <c r="A78" s="22">
        <f t="shared" si="6"/>
        <v>45017</v>
      </c>
      <c r="B78" s="23">
        <f t="shared" si="3"/>
        <v>2023</v>
      </c>
      <c r="C78" s="24" cm="1">
        <f t="array" ref="C78">_xlfn.IFNA(_xlfn.XLOOKUP(1,(CPI_Data[Year]=YEAR(A78))*(CPI_Data[Month]=TEXT(A78,"mmmm"))*(CPI_Data[Sector]="Rural+Urban"),CPI_Data[General index]),"")</f>
        <v>178.1</v>
      </c>
      <c r="D78" s="24" cm="1">
        <f t="array" ref="D78">_xlfn.IFNA(_xlfn.XLOOKUP(1,(CPI_Data[Year]=YEAR(A78)-1)*(CPI_Data[Month]=TEXT(A78,"mmmm"))*(CPI_Data[Sector]="Rural+Urban"),CPI_Data[General index])," ")</f>
        <v>170.1</v>
      </c>
      <c r="E78" s="29">
        <f t="shared" si="4"/>
        <v>4.7031158142269254</v>
      </c>
    </row>
    <row r="79" spans="1:5" x14ac:dyDescent="0.25">
      <c r="A79" s="2"/>
      <c r="B79" s="2"/>
    </row>
  </sheetData>
  <mergeCells count="1">
    <mergeCell ref="A1:E1"/>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7DC775-B5C5-4A04-B879-EFD4EC0612FA}">
  <dimension ref="A1:J13"/>
  <sheetViews>
    <sheetView topLeftCell="A6" workbookViewId="0">
      <selection activeCell="N15" sqref="N15"/>
    </sheetView>
  </sheetViews>
  <sheetFormatPr defaultRowHeight="15" x14ac:dyDescent="0.25"/>
  <cols>
    <col min="1" max="1" width="13.42578125" bestFit="1" customWidth="1"/>
    <col min="2" max="2" width="24.7109375" bestFit="1" customWidth="1"/>
  </cols>
  <sheetData>
    <row r="1" spans="1:10" ht="15.75" thickBot="1" x14ac:dyDescent="0.3"/>
    <row r="2" spans="1:10" x14ac:dyDescent="0.25">
      <c r="A2" s="86" t="s">
        <v>126</v>
      </c>
      <c r="B2" s="87"/>
      <c r="C2" s="87"/>
      <c r="D2" s="87"/>
      <c r="E2" s="87"/>
      <c r="F2" s="87"/>
      <c r="G2" s="87"/>
      <c r="H2" s="87"/>
      <c r="I2" s="87"/>
      <c r="J2" s="88"/>
    </row>
    <row r="3" spans="1:10" ht="15.75" thickBot="1" x14ac:dyDescent="0.3">
      <c r="A3" s="89"/>
      <c r="B3" s="90"/>
      <c r="C3" s="90"/>
      <c r="D3" s="90"/>
      <c r="E3" s="90"/>
      <c r="F3" s="90"/>
      <c r="G3" s="90"/>
      <c r="H3" s="90"/>
      <c r="I3" s="90"/>
      <c r="J3" s="91"/>
    </row>
    <row r="5" spans="1:10" x14ac:dyDescent="0.25">
      <c r="A5" s="42" t="s">
        <v>1</v>
      </c>
      <c r="B5" t="s">
        <v>72</v>
      </c>
    </row>
    <row r="6" spans="1:10" x14ac:dyDescent="0.25">
      <c r="A6" s="43">
        <v>2017</v>
      </c>
      <c r="B6" s="21">
        <v>3.3273885375365366</v>
      </c>
    </row>
    <row r="7" spans="1:10" x14ac:dyDescent="0.25">
      <c r="A7" s="43">
        <v>2018</v>
      </c>
      <c r="B7" s="21">
        <v>3.9676971910429089</v>
      </c>
    </row>
    <row r="8" spans="1:10" x14ac:dyDescent="0.25">
      <c r="A8" s="43">
        <v>2019</v>
      </c>
      <c r="B8" s="21">
        <v>3.7704798059274536</v>
      </c>
    </row>
    <row r="9" spans="1:10" x14ac:dyDescent="0.25">
      <c r="A9" s="43">
        <v>2020</v>
      </c>
      <c r="B9" s="21">
        <v>6.2246958890580313</v>
      </c>
    </row>
    <row r="10" spans="1:10" x14ac:dyDescent="0.25">
      <c r="A10" s="43">
        <v>2021</v>
      </c>
      <c r="B10" s="21">
        <v>5.5772152293999806</v>
      </c>
    </row>
    <row r="11" spans="1:10" x14ac:dyDescent="0.25">
      <c r="A11" s="43">
        <v>2022</v>
      </c>
      <c r="B11" s="21">
        <v>6.6240649804989218</v>
      </c>
    </row>
    <row r="12" spans="1:10" x14ac:dyDescent="0.25">
      <c r="A12" s="43">
        <v>2023</v>
      </c>
      <c r="B12" s="21">
        <v>5.892129520821813</v>
      </c>
    </row>
    <row r="13" spans="1:10" x14ac:dyDescent="0.25">
      <c r="A13" s="43" t="s">
        <v>71</v>
      </c>
      <c r="B13" s="21">
        <v>4.9308833189015466</v>
      </c>
    </row>
  </sheetData>
  <mergeCells count="1">
    <mergeCell ref="A2:J3"/>
  </mergeCells>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F7F800-CB3B-43E6-AB19-2E901982E33E}">
  <dimension ref="A1:I20"/>
  <sheetViews>
    <sheetView topLeftCell="A13" workbookViewId="0">
      <selection activeCell="K7" sqref="K7"/>
    </sheetView>
  </sheetViews>
  <sheetFormatPr defaultRowHeight="15" x14ac:dyDescent="0.25"/>
  <cols>
    <col min="1" max="1" width="20.28515625" customWidth="1"/>
    <col min="2" max="2" width="12.42578125" customWidth="1"/>
    <col min="3" max="3" width="25.140625" customWidth="1"/>
    <col min="4" max="4" width="16.28515625" customWidth="1"/>
    <col min="6" max="6" width="23.28515625" customWidth="1"/>
    <col min="7" max="7" width="19" customWidth="1"/>
    <col min="8" max="8" width="23.42578125" customWidth="1"/>
    <col min="9" max="9" width="17.5703125" customWidth="1"/>
  </cols>
  <sheetData>
    <row r="1" spans="1:9" ht="15.75" thickBot="1" x14ac:dyDescent="0.3"/>
    <row r="2" spans="1:9" x14ac:dyDescent="0.25">
      <c r="A2" s="80" t="s">
        <v>125</v>
      </c>
      <c r="B2" s="81"/>
      <c r="C2" s="81"/>
      <c r="D2" s="81"/>
      <c r="E2" s="81"/>
      <c r="F2" s="81"/>
      <c r="G2" s="81"/>
      <c r="H2" s="81"/>
      <c r="I2" s="82"/>
    </row>
    <row r="3" spans="1:9" ht="15.75" thickBot="1" x14ac:dyDescent="0.3">
      <c r="A3" s="83"/>
      <c r="B3" s="84"/>
      <c r="C3" s="84"/>
      <c r="D3" s="84"/>
      <c r="E3" s="84"/>
      <c r="F3" s="84"/>
      <c r="G3" s="84"/>
      <c r="H3" s="84"/>
      <c r="I3" s="85"/>
    </row>
    <row r="4" spans="1:9" ht="15.75" thickBot="1" x14ac:dyDescent="0.3"/>
    <row r="5" spans="1:9" ht="15.75" thickBot="1" x14ac:dyDescent="0.3">
      <c r="A5" s="51" t="s">
        <v>49</v>
      </c>
      <c r="B5" s="52" t="s">
        <v>73</v>
      </c>
      <c r="C5" s="52" t="s">
        <v>74</v>
      </c>
      <c r="D5" s="53" t="s">
        <v>75</v>
      </c>
      <c r="F5" s="55" t="s">
        <v>77</v>
      </c>
      <c r="G5" s="56" t="s">
        <v>85</v>
      </c>
      <c r="H5" s="56" t="s">
        <v>78</v>
      </c>
      <c r="I5" s="57" t="s">
        <v>68</v>
      </c>
    </row>
    <row r="6" spans="1:9" ht="17.25" customHeight="1" x14ac:dyDescent="0.25">
      <c r="A6" s="45">
        <v>44734</v>
      </c>
      <c r="B6" s="28">
        <f>IFERROR(SUMIFS(CPI_Data[Food and beverages],CPI_Data[Year],YEAR(A6),CPI_Data[Month],TEXT(A6,"mmmm"),CPI_Data[Sector],"Rural+Urban"),"")</f>
        <v>174.9</v>
      </c>
      <c r="C6" s="28"/>
      <c r="D6" s="28"/>
      <c r="F6" s="8" t="s">
        <v>79</v>
      </c>
      <c r="G6" s="8">
        <f>SUMIFS(CPI_Data[Cereals and products],CPI_Data[Year],2022,CPI_Data[Month],"May",CPI_Data[Sector],"Rural+Urban")</f>
        <v>154.1</v>
      </c>
      <c r="H6" s="54">
        <f>SUMIFS(CPI_Data[Cereals and products],CPI_Data[Year],2023,CPI_Data[Month],"May",CPI_Data[Sector],"Rural+Urban")</f>
        <v>173.7</v>
      </c>
      <c r="I6" s="29">
        <f>(H6-G6)/G6*100</f>
        <v>12.719013627514597</v>
      </c>
    </row>
    <row r="7" spans="1:9" ht="20.100000000000001" customHeight="1" x14ac:dyDescent="0.25">
      <c r="A7" s="44">
        <v>44764</v>
      </c>
      <c r="B7" s="24">
        <f>IFERROR(SUMIFS(CPI_Data[Food and beverages],CPI_Data[Year],YEAR(A7),CPI_Data[Month],TEXT(A7,"mmmm"),CPI_Data[Sector],"Rural+Urban"),"")</f>
        <v>175</v>
      </c>
      <c r="C7" s="24">
        <f>IFERROR(B6,"")</f>
        <v>174.9</v>
      </c>
      <c r="D7" s="25">
        <f>((B7-C7)/C7)*100</f>
        <v>5.7175528873638831E-2</v>
      </c>
      <c r="F7" s="6" t="s">
        <v>80</v>
      </c>
      <c r="G7" s="6">
        <f>SUMIFS(CPI_Data[Meat and fish],CPI_Data[Year],2022,CPI_Data[Month],"May",CPI_Data[Sector],"Rural+Urban")</f>
        <v>217</v>
      </c>
      <c r="H7" s="50">
        <f>SUMIFS(CPI_Data[Meat and fish],CPI_Data[Year],2023,CPI_Data[Month],"May",CPI_Data[Sector],"Rural+Urban")</f>
        <v>214.3</v>
      </c>
      <c r="I7" s="25">
        <f t="shared" ref="I7:I17" si="0">(H7-G7)/G7*100</f>
        <v>-1.2442396313364004</v>
      </c>
    </row>
    <row r="8" spans="1:9" ht="20.100000000000001" customHeight="1" x14ac:dyDescent="0.25">
      <c r="A8" s="44">
        <v>44795</v>
      </c>
      <c r="B8" s="24">
        <f>IFERROR(SUMIFS(CPI_Data[Food and beverages],CPI_Data[Year],YEAR(A8),CPI_Data[Month],TEXT(A8,"mmmm"),CPI_Data[Sector],"Rural+Urban"),"")</f>
        <v>176.3</v>
      </c>
      <c r="C8" s="24">
        <f t="shared" ref="C8:C17" si="1">IFERROR(B7,"")</f>
        <v>175</v>
      </c>
      <c r="D8" s="25">
        <f t="shared" ref="D8:D17" si="2">((B8-C8)/C8)*100</f>
        <v>0.74285714285714932</v>
      </c>
      <c r="F8" s="6" t="s">
        <v>5</v>
      </c>
      <c r="G8" s="6">
        <f>SUMIFS(CPI_Data[Egg],CPI_Data[Year],2022,CPI_Data[Month],"May",CPI_Data[Sector],"Rural+Urban")</f>
        <v>162.4</v>
      </c>
      <c r="H8" s="50">
        <f>SUMIFS(CPI_Data[Egg],CPI_Data[Year],2023,CPI_Data[Month],"May",CPI_Data[Sector],"Rural+Urban")</f>
        <v>173.2</v>
      </c>
      <c r="I8" s="25">
        <f t="shared" si="0"/>
        <v>6.6502463054187082</v>
      </c>
    </row>
    <row r="9" spans="1:9" ht="20.100000000000001" customHeight="1" x14ac:dyDescent="0.25">
      <c r="A9" s="44">
        <v>44826</v>
      </c>
      <c r="B9" s="24">
        <f>IFERROR(SUMIFS(CPI_Data[Food and beverages],CPI_Data[Year],YEAR(A9),CPI_Data[Month],TEXT(A9,"mmmm"),CPI_Data[Sector],"Rural+Urban"),"")</f>
        <v>177.8</v>
      </c>
      <c r="C9" s="24">
        <f t="shared" si="1"/>
        <v>176.3</v>
      </c>
      <c r="D9" s="25">
        <f t="shared" si="2"/>
        <v>0.85082246171298925</v>
      </c>
      <c r="F9" s="6" t="s">
        <v>81</v>
      </c>
      <c r="G9" s="6">
        <f>SUMIFS(CPI_Data[Milk and products],CPI_Data[Year],2022,CPI_Data[Month],"May",CPI_Data[Sector],"Rural+Urban")</f>
        <v>164.9</v>
      </c>
      <c r="H9" s="50">
        <f>SUMIFS(CPI_Data[Milk and products],CPI_Data[Year],2023,CPI_Data[Month],"May",CPI_Data[Sector],"Rural+Urban")</f>
        <v>179.5</v>
      </c>
      <c r="I9" s="25">
        <f t="shared" si="0"/>
        <v>8.8538508186779836</v>
      </c>
    </row>
    <row r="10" spans="1:9" ht="20.100000000000001" customHeight="1" x14ac:dyDescent="0.25">
      <c r="A10" s="44">
        <v>44856</v>
      </c>
      <c r="B10" s="24">
        <f>IFERROR(SUMIFS(CPI_Data[Food and beverages],CPI_Data[Year],YEAR(A10),CPI_Data[Month],TEXT(A10,"mmmm"),CPI_Data[Sector],"Rural+Urban"),"")</f>
        <v>179.6</v>
      </c>
      <c r="C10" s="24">
        <f t="shared" si="1"/>
        <v>177.8</v>
      </c>
      <c r="D10" s="25">
        <f t="shared" si="2"/>
        <v>1.0123734533183255</v>
      </c>
      <c r="F10" s="6" t="s">
        <v>82</v>
      </c>
      <c r="G10" s="6">
        <f>SUMIFS(CPI_Data[Oils and fats],CPI_Data[Year],2022,CPI_Data[Month],"May",CPI_Data[Sector],"Rural+Urban")</f>
        <v>202.4</v>
      </c>
      <c r="H10" s="50">
        <f>SUMIFS(CPI_Data[Oils and fats],CPI_Data[Year],2023,CPI_Data[Month],"May",CPI_Data[Sector],"Rural+Urban")</f>
        <v>170</v>
      </c>
      <c r="I10" s="25">
        <f t="shared" si="0"/>
        <v>-16.007905138339922</v>
      </c>
    </row>
    <row r="11" spans="1:9" ht="20.100000000000001" customHeight="1" x14ac:dyDescent="0.25">
      <c r="A11" s="44">
        <v>44887</v>
      </c>
      <c r="B11" s="24">
        <f>IFERROR(SUMIFS(CPI_Data[Food and beverages],CPI_Data[Year],YEAR(A11),CPI_Data[Month],TEXT(A11,"mmmm"),CPI_Data[Sector],"Rural+Urban"),"")</f>
        <v>178.3</v>
      </c>
      <c r="C11" s="24">
        <f t="shared" si="1"/>
        <v>179.6</v>
      </c>
      <c r="D11" s="25">
        <f t="shared" si="2"/>
        <v>-0.7238307349665829</v>
      </c>
      <c r="F11" s="6" t="s">
        <v>8</v>
      </c>
      <c r="G11" s="6">
        <f>SUMIFS(CPI_Data[Fruits],CPI_Data[Year],2022,CPI_Data[Month],"May",CPI_Data[Sector],"Rural+Urban")</f>
        <v>171</v>
      </c>
      <c r="H11" s="50">
        <f>SUMIFS(CPI_Data[Fruits],CPI_Data[Year],2023,CPI_Data[Month],"May",CPI_Data[Sector],"Rural+Urban")</f>
        <v>172.2</v>
      </c>
      <c r="I11" s="25">
        <f t="shared" si="0"/>
        <v>0.70175438596490558</v>
      </c>
    </row>
    <row r="12" spans="1:9" ht="20.100000000000001" customHeight="1" x14ac:dyDescent="0.25">
      <c r="A12" s="44">
        <v>44917</v>
      </c>
      <c r="B12" s="24">
        <f>IFERROR(SUMIFS(CPI_Data[Food and beverages],CPI_Data[Year],YEAR(A12),CPI_Data[Month],TEXT(A12,"mmmm"),CPI_Data[Sector],"Rural+Urban"),"")</f>
        <v>175.9</v>
      </c>
      <c r="C12" s="24">
        <f t="shared" si="1"/>
        <v>178.3</v>
      </c>
      <c r="D12" s="25">
        <f t="shared" si="2"/>
        <v>-1.3460459899046582</v>
      </c>
      <c r="F12" s="6" t="s">
        <v>9</v>
      </c>
      <c r="G12" s="6">
        <f>SUMIFS(CPI_Data[Vegetables],CPI_Data[Year],2022,CPI_Data[Month],"May",CPI_Data[Sector],"Rural+Urban")</f>
        <v>174.9</v>
      </c>
      <c r="H12" s="50">
        <f>SUMIFS(CPI_Data[Vegetables],CPI_Data[Year],2023,CPI_Data[Month],"May",CPI_Data[Sector],"Rural+Urban")</f>
        <v>161</v>
      </c>
      <c r="I12" s="25">
        <f t="shared" si="0"/>
        <v>-7.9473985134362515</v>
      </c>
    </row>
    <row r="13" spans="1:9" ht="20.100000000000001" customHeight="1" x14ac:dyDescent="0.25">
      <c r="A13" s="44">
        <v>44948</v>
      </c>
      <c r="B13" s="24">
        <f>IFERROR(SUMIFS(CPI_Data[Food and beverages],CPI_Data[Year],YEAR(A13),CPI_Data[Month],TEXT(A13,"mmmm"),CPI_Data[Sector],"Rural+Urban"),"")</f>
        <v>176.7</v>
      </c>
      <c r="C13" s="24">
        <f t="shared" si="1"/>
        <v>175.9</v>
      </c>
      <c r="D13" s="25">
        <f t="shared" si="2"/>
        <v>0.45480386583284982</v>
      </c>
      <c r="F13" s="6" t="s">
        <v>83</v>
      </c>
      <c r="G13" s="6">
        <f>SUMIFS(CPI_Data[Pulses and products],CPI_Data[Year],2022,CPI_Data[Month],"May",CPI_Data[Sector],"Rural+Urban")</f>
        <v>164.7</v>
      </c>
      <c r="H13" s="50">
        <f>SUMIFS(CPI_Data[Pulses and products],CPI_Data[Year],2023,CPI_Data[Month],"May",CPI_Data[Sector],"Rural+Urban")</f>
        <v>175.6</v>
      </c>
      <c r="I13" s="25">
        <f t="shared" si="0"/>
        <v>6.6180935033394093</v>
      </c>
    </row>
    <row r="14" spans="1:9" ht="20.100000000000001" customHeight="1" x14ac:dyDescent="0.25">
      <c r="A14" s="44">
        <v>44979</v>
      </c>
      <c r="B14" s="24">
        <f>IFERROR(SUMIFS(CPI_Data[Food and beverages],CPI_Data[Year],YEAR(A14),CPI_Data[Month],TEXT(A14,"mmmm"),CPI_Data[Sector],"Rural+Urban"),"")</f>
        <v>177</v>
      </c>
      <c r="C14" s="24">
        <f t="shared" si="1"/>
        <v>176.7</v>
      </c>
      <c r="D14" s="25">
        <f t="shared" si="2"/>
        <v>0.16977928692700134</v>
      </c>
      <c r="F14" s="6" t="s">
        <v>84</v>
      </c>
      <c r="G14" s="6">
        <f>SUMIFS(CPI_Data[Sugar and Confectionery],CPI_Data[Year],2022,CPI_Data[Month],"May",CPI_Data[Sector],"Rural+Urban")</f>
        <v>119.7</v>
      </c>
      <c r="H14" s="50">
        <f>SUMIFS(CPI_Data[Sugar and Confectionery],CPI_Data[Year],2023,CPI_Data[Month],"May",CPI_Data[Sector],"Rural+Urban")</f>
        <v>122.7</v>
      </c>
      <c r="I14" s="25">
        <f t="shared" si="0"/>
        <v>2.5062656641604009</v>
      </c>
    </row>
    <row r="15" spans="1:9" ht="20.100000000000001" customHeight="1" x14ac:dyDescent="0.25">
      <c r="A15" s="44">
        <v>45007</v>
      </c>
      <c r="B15" s="24">
        <f>IFERROR(SUMIFS(CPI_Data[Food and beverages],CPI_Data[Year],YEAR(A15),CPI_Data[Month],TEXT(A15,"mmmm"),CPI_Data[Sector],"Rural+Urban"),"")</f>
        <v>177</v>
      </c>
      <c r="C15" s="24">
        <f t="shared" si="1"/>
        <v>177</v>
      </c>
      <c r="D15" s="25">
        <f t="shared" si="2"/>
        <v>0</v>
      </c>
      <c r="F15" s="6" t="s">
        <v>12</v>
      </c>
      <c r="G15" s="6">
        <f>SUMIFS(CPI_Data[Spices],CPI_Data[Year],2022,CPI_Data[Month],"May",CPI_Data[Sector],"Rural+Urban")</f>
        <v>184.9</v>
      </c>
      <c r="H15" s="50">
        <f>SUMIFS(CPI_Data[Spices],CPI_Data[Year],2023,CPI_Data[Month],"May",CPI_Data[Sector],"Rural+Urban")</f>
        <v>218</v>
      </c>
      <c r="I15" s="25">
        <f t="shared" si="0"/>
        <v>17.901568415359652</v>
      </c>
    </row>
    <row r="16" spans="1:9" ht="20.100000000000001" customHeight="1" x14ac:dyDescent="0.25">
      <c r="A16" s="44">
        <v>45038</v>
      </c>
      <c r="B16" s="24">
        <f>IFERROR(SUMIFS(CPI_Data[Food and beverages],CPI_Data[Year],YEAR(A16),CPI_Data[Month],TEXT(A16,"mmmm"),CPI_Data[Sector],"Rural+Urban"),"")</f>
        <v>177.9</v>
      </c>
      <c r="C16" s="24">
        <f t="shared" si="1"/>
        <v>177</v>
      </c>
      <c r="D16" s="25">
        <f t="shared" si="2"/>
        <v>0.50847457627118964</v>
      </c>
      <c r="F16" s="6" t="s">
        <v>13</v>
      </c>
      <c r="G16" s="6">
        <f>SUMIFS(CPI_Data[Non-alcoholic beverages],CPI_Data[Year],2022,CPI_Data[Month],"May",CPI_Data[Sector],"Rural+Urban")</f>
        <v>167.1</v>
      </c>
      <c r="H16" s="50">
        <f>SUMIFS(CPI_Data[Non-alcoholic beverages],CPI_Data[Year],2023,CPI_Data[Month],"May",CPI_Data[Sector],"Rural+Urban")</f>
        <v>173.4</v>
      </c>
      <c r="I16" s="25">
        <f t="shared" si="0"/>
        <v>3.7701974865350159</v>
      </c>
    </row>
    <row r="17" spans="1:9" ht="33" customHeight="1" x14ac:dyDescent="0.25">
      <c r="A17" s="44">
        <v>45068</v>
      </c>
      <c r="B17" s="24">
        <f>IFERROR(SUMIFS(CPI_Data[Food and beverages],CPI_Data[Year],YEAR(A17),CPI_Data[Month],TEXT(A17,"mmmm"),CPI_Data[Sector],"Rural+Urban"),"")</f>
        <v>179.1</v>
      </c>
      <c r="C17" s="24">
        <f t="shared" si="1"/>
        <v>177.9</v>
      </c>
      <c r="D17" s="25">
        <f t="shared" si="2"/>
        <v>0.6745362563237709</v>
      </c>
      <c r="F17" s="6" t="s">
        <v>14</v>
      </c>
      <c r="G17" s="6">
        <f>SUMIFS(CPI_Data[Prepared meals, snacks, sweets etc.],CPI_Data[Year],2022,CPI_Data[Month],"May",CPI_Data[Sector],"Rural+Urban")</f>
        <v>182.5</v>
      </c>
      <c r="H17" s="50">
        <f>SUMIFS(CPI_Data[Prepared meals, snacks, sweets etc.],CPI_Data[Year],2023,CPI_Data[Month],"May",CPI_Data[Sector],"Rural+Urban")</f>
        <v>194.2</v>
      </c>
      <c r="I17" s="25">
        <f t="shared" si="0"/>
        <v>6.4109589041095827</v>
      </c>
    </row>
    <row r="18" spans="1:9" ht="15.75" thickBot="1" x14ac:dyDescent="0.3"/>
    <row r="19" spans="1:9" ht="15.75" thickBot="1" x14ac:dyDescent="0.3">
      <c r="A19" s="49" t="s">
        <v>76</v>
      </c>
    </row>
    <row r="20" spans="1:9" ht="15.75" thickBot="1" x14ac:dyDescent="0.3">
      <c r="A20" s="46">
        <f>B17-B6</f>
        <v>4.1999999999999886</v>
      </c>
    </row>
  </sheetData>
  <mergeCells count="1">
    <mergeCell ref="A2:I3"/>
  </mergeCells>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C52892-76D6-49DE-9B55-E7DB507FAF7F}">
  <dimension ref="A1:G15"/>
  <sheetViews>
    <sheetView topLeftCell="A12" workbookViewId="0">
      <selection activeCell="O18" sqref="O18"/>
    </sheetView>
  </sheetViews>
  <sheetFormatPr defaultRowHeight="15" x14ac:dyDescent="0.25"/>
  <cols>
    <col min="1" max="1" width="13.42578125" bestFit="1" customWidth="1"/>
    <col min="2" max="2" width="17.42578125" customWidth="1"/>
    <col min="3" max="3" width="13.5703125" customWidth="1"/>
    <col min="4" max="4" width="24.28515625" customWidth="1"/>
    <col min="5" max="5" width="19.7109375" customWidth="1"/>
    <col min="6" max="6" width="19.85546875" customWidth="1"/>
    <col min="7" max="7" width="24.5703125" bestFit="1" customWidth="1"/>
  </cols>
  <sheetData>
    <row r="1" spans="1:7" ht="15.75" thickBot="1" x14ac:dyDescent="0.3"/>
    <row r="2" spans="1:7" ht="39" customHeight="1" thickBot="1" x14ac:dyDescent="0.3">
      <c r="A2" s="72" t="s">
        <v>98</v>
      </c>
      <c r="B2" s="73"/>
      <c r="C2" s="73"/>
      <c r="D2" s="73"/>
      <c r="E2" s="73"/>
      <c r="F2" s="73"/>
      <c r="G2" s="74"/>
    </row>
    <row r="4" spans="1:7" x14ac:dyDescent="0.25">
      <c r="A4" s="42" t="s">
        <v>0</v>
      </c>
      <c r="B4" t="s">
        <v>34</v>
      </c>
    </row>
    <row r="6" spans="1:7" ht="30" x14ac:dyDescent="0.25">
      <c r="A6" s="42" t="s">
        <v>70</v>
      </c>
      <c r="B6" s="3" t="s">
        <v>89</v>
      </c>
      <c r="C6" s="3" t="s">
        <v>90</v>
      </c>
      <c r="D6" s="3" t="s">
        <v>91</v>
      </c>
      <c r="E6" s="3" t="s">
        <v>92</v>
      </c>
      <c r="F6" s="3" t="s">
        <v>93</v>
      </c>
    </row>
    <row r="7" spans="1:7" x14ac:dyDescent="0.25">
      <c r="A7" s="43" t="s">
        <v>88</v>
      </c>
      <c r="B7" s="21">
        <v>157.51818181818183</v>
      </c>
      <c r="C7" s="21">
        <v>155.8909090909091</v>
      </c>
      <c r="D7" s="21">
        <v>148.48000000000005</v>
      </c>
      <c r="E7" s="21">
        <v>144.93636363636367</v>
      </c>
      <c r="F7" s="21">
        <v>138.67000000000002</v>
      </c>
    </row>
    <row r="8" spans="1:7" x14ac:dyDescent="0.25">
      <c r="A8" s="43" t="s">
        <v>87</v>
      </c>
      <c r="B8" s="21">
        <v>147.25454545454548</v>
      </c>
      <c r="C8" s="21">
        <v>148.95454545454547</v>
      </c>
      <c r="D8" s="21">
        <v>144.84545454545454</v>
      </c>
      <c r="E8" s="21">
        <v>141.5090909090909</v>
      </c>
      <c r="F8" s="21">
        <v>126.86363636363636</v>
      </c>
    </row>
    <row r="9" spans="1:7" x14ac:dyDescent="0.25">
      <c r="A9" s="43" t="s">
        <v>71</v>
      </c>
      <c r="B9" s="21">
        <v>152.38636363636363</v>
      </c>
      <c r="C9" s="21">
        <v>152.42272727272731</v>
      </c>
      <c r="D9" s="21">
        <v>146.5761904761905</v>
      </c>
      <c r="E9" s="21">
        <v>143.22272727272727</v>
      </c>
      <c r="F9" s="21">
        <v>132.48571428571429</v>
      </c>
    </row>
    <row r="10" spans="1:7" ht="15.75" thickBot="1" x14ac:dyDescent="0.3">
      <c r="A10" s="43"/>
      <c r="B10" s="21"/>
      <c r="C10" s="21"/>
      <c r="D10" s="21"/>
      <c r="E10" s="21"/>
      <c r="F10" s="21"/>
    </row>
    <row r="11" spans="1:7" ht="15.75" thickBot="1" x14ac:dyDescent="0.3">
      <c r="A11" s="75" t="s">
        <v>99</v>
      </c>
      <c r="B11" s="76"/>
      <c r="C11" s="76"/>
      <c r="D11" s="76"/>
      <c r="E11" s="76"/>
      <c r="F11" s="76"/>
      <c r="G11" s="77"/>
    </row>
    <row r="12" spans="1:7" ht="30" x14ac:dyDescent="0.25">
      <c r="A12" s="63" t="s">
        <v>86</v>
      </c>
      <c r="B12" s="63" t="s">
        <v>56</v>
      </c>
      <c r="C12" s="63" t="s">
        <v>23</v>
      </c>
      <c r="D12" s="63" t="s">
        <v>60</v>
      </c>
      <c r="E12" s="63" t="s">
        <v>96</v>
      </c>
      <c r="F12" s="63" t="s">
        <v>100</v>
      </c>
      <c r="G12" s="63" t="s">
        <v>95</v>
      </c>
    </row>
    <row r="13" spans="1:7" x14ac:dyDescent="0.25">
      <c r="A13" s="59" t="s">
        <v>87</v>
      </c>
      <c r="B13" s="59">
        <v>147.25</v>
      </c>
      <c r="C13" s="59">
        <v>148.94999999999999</v>
      </c>
      <c r="D13" s="59">
        <v>144.85</v>
      </c>
      <c r="E13" s="59">
        <v>141.51</v>
      </c>
      <c r="F13" s="59">
        <v>126.86</v>
      </c>
      <c r="G13" s="59">
        <v>137.74</v>
      </c>
    </row>
    <row r="14" spans="1:7" ht="15.75" thickBot="1" x14ac:dyDescent="0.3">
      <c r="A14" s="60" t="s">
        <v>88</v>
      </c>
      <c r="B14" s="60">
        <v>157.52000000000001</v>
      </c>
      <c r="C14" s="60">
        <v>155.88999999999999</v>
      </c>
      <c r="D14" s="60">
        <v>148.47999999999999</v>
      </c>
      <c r="E14" s="60">
        <v>144.94</v>
      </c>
      <c r="F14" s="60">
        <v>138.66999999999999</v>
      </c>
      <c r="G14" s="60">
        <v>144.03</v>
      </c>
    </row>
    <row r="15" spans="1:7" ht="15.75" thickBot="1" x14ac:dyDescent="0.3">
      <c r="A15" s="18" t="s">
        <v>97</v>
      </c>
      <c r="B15" s="61">
        <f>(B14-B13)/B13*100</f>
        <v>6.9745331069609575</v>
      </c>
      <c r="C15" s="61">
        <f t="shared" ref="C15:G15" si="0">(C14-C13)/C13*100</f>
        <v>4.6592816381336011</v>
      </c>
      <c r="D15" s="61">
        <f t="shared" si="0"/>
        <v>2.5060407317915057</v>
      </c>
      <c r="E15" s="61">
        <f t="shared" si="0"/>
        <v>2.4238569712387865</v>
      </c>
      <c r="F15" s="61">
        <f t="shared" si="0"/>
        <v>9.3094750118240484</v>
      </c>
      <c r="G15" s="62">
        <f t="shared" si="0"/>
        <v>4.5665747059677599</v>
      </c>
    </row>
  </sheetData>
  <mergeCells count="2">
    <mergeCell ref="A2:G2"/>
    <mergeCell ref="A11:G11"/>
  </mergeCells>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BF285D-5824-4940-9C9F-970D4871F238}">
  <dimension ref="A1:BB103"/>
  <sheetViews>
    <sheetView workbookViewId="0">
      <selection activeCell="I23" sqref="I23"/>
    </sheetView>
  </sheetViews>
  <sheetFormatPr defaultRowHeight="15" x14ac:dyDescent="0.25"/>
  <cols>
    <col min="2" max="2" width="22.85546875" bestFit="1" customWidth="1"/>
    <col min="3" max="3" width="20.5703125" bestFit="1" customWidth="1"/>
    <col min="5" max="5" width="27.140625" customWidth="1"/>
    <col min="6" max="6" width="26" bestFit="1" customWidth="1"/>
    <col min="7" max="7" width="17.85546875" bestFit="1" customWidth="1"/>
    <col min="8" max="8" width="14.140625" customWidth="1"/>
    <col min="9" max="9" width="26.42578125" bestFit="1" customWidth="1"/>
    <col min="17" max="17" width="22.85546875" bestFit="1" customWidth="1"/>
    <col min="18" max="18" width="11.7109375" bestFit="1" customWidth="1"/>
    <col min="21" max="21" width="21.140625" bestFit="1" customWidth="1"/>
    <col min="22" max="22" width="13.42578125" bestFit="1" customWidth="1"/>
    <col min="25" max="25" width="11.140625" bestFit="1" customWidth="1"/>
    <col min="26" max="26" width="18.140625" bestFit="1" customWidth="1"/>
    <col min="30" max="30" width="10.7109375" bestFit="1" customWidth="1"/>
    <col min="33" max="33" width="14.85546875" bestFit="1" customWidth="1"/>
    <col min="34" max="34" width="16.42578125" bestFit="1" customWidth="1"/>
    <col min="37" max="38" width="10.5703125" bestFit="1" customWidth="1"/>
    <col min="41" max="41" width="12.85546875" bestFit="1" customWidth="1"/>
    <col min="42" max="42" width="18.140625" bestFit="1" customWidth="1"/>
    <col min="46" max="46" width="13.28515625" bestFit="1" customWidth="1"/>
    <col min="49" max="49" width="29.28515625" customWidth="1"/>
    <col min="50" max="50" width="11.7109375" bestFit="1" customWidth="1"/>
    <col min="53" max="53" width="9.7109375" customWidth="1"/>
    <col min="54" max="54" width="16.85546875" bestFit="1" customWidth="1"/>
  </cols>
  <sheetData>
    <row r="1" spans="1:54" ht="15.75" thickBot="1" x14ac:dyDescent="0.3"/>
    <row r="2" spans="1:54" ht="49.5" customHeight="1" thickBot="1" x14ac:dyDescent="0.3">
      <c r="A2" s="72" t="s">
        <v>123</v>
      </c>
      <c r="B2" s="73"/>
      <c r="C2" s="73"/>
      <c r="D2" s="73"/>
      <c r="E2" s="73"/>
      <c r="F2" s="73"/>
      <c r="G2" s="74"/>
    </row>
    <row r="4" spans="1:54" ht="15.75" thickBot="1" x14ac:dyDescent="0.3"/>
    <row r="5" spans="1:54" ht="15.75" thickBot="1" x14ac:dyDescent="0.3">
      <c r="A5" s="30" t="s">
        <v>49</v>
      </c>
      <c r="B5" s="31" t="s">
        <v>122</v>
      </c>
      <c r="C5" s="32" t="s">
        <v>101</v>
      </c>
      <c r="E5" s="55" t="s">
        <v>107</v>
      </c>
      <c r="F5" s="58" t="s">
        <v>108</v>
      </c>
      <c r="P5" t="s">
        <v>49</v>
      </c>
      <c r="Q5" t="s">
        <v>110</v>
      </c>
      <c r="R5" t="s">
        <v>111</v>
      </c>
      <c r="T5" t="s">
        <v>49</v>
      </c>
      <c r="U5" t="s">
        <v>112</v>
      </c>
      <c r="V5" t="s">
        <v>113</v>
      </c>
      <c r="X5" t="s">
        <v>49</v>
      </c>
      <c r="Y5" t="s">
        <v>105</v>
      </c>
      <c r="Z5" t="s">
        <v>114</v>
      </c>
      <c r="AB5" t="s">
        <v>102</v>
      </c>
      <c r="AC5" t="s">
        <v>5</v>
      </c>
      <c r="AD5" t="s">
        <v>115</v>
      </c>
      <c r="AF5" t="s">
        <v>49</v>
      </c>
      <c r="AG5" t="s">
        <v>109</v>
      </c>
      <c r="AH5" t="s">
        <v>116</v>
      </c>
      <c r="AJ5" t="s">
        <v>49</v>
      </c>
      <c r="AK5" t="s">
        <v>9</v>
      </c>
      <c r="AL5" t="s">
        <v>117</v>
      </c>
      <c r="AN5" t="s">
        <v>49</v>
      </c>
      <c r="AO5" t="s">
        <v>21</v>
      </c>
      <c r="AP5" t="s">
        <v>118</v>
      </c>
      <c r="AR5" t="s">
        <v>49</v>
      </c>
      <c r="AS5" t="s">
        <v>23</v>
      </c>
      <c r="AT5" t="s">
        <v>119</v>
      </c>
      <c r="AV5" t="s">
        <v>49</v>
      </c>
      <c r="AW5" t="s">
        <v>62</v>
      </c>
      <c r="AX5" t="s">
        <v>120</v>
      </c>
      <c r="AZ5" t="s">
        <v>49</v>
      </c>
      <c r="BA5" t="s">
        <v>26</v>
      </c>
      <c r="BB5" t="s">
        <v>121</v>
      </c>
    </row>
    <row r="6" spans="1:54" x14ac:dyDescent="0.25">
      <c r="A6" s="26">
        <v>44217</v>
      </c>
      <c r="B6" s="28" cm="1">
        <f t="array" ref="B6">_xlfn.XLOOKUP(1,(CPI_Data[Year]=YEAR(A6))*(CPI_Data[Month]=TEXT(A6,"mmmm"))*(CPI_Data[Sector]="Rural+Urban"),CPI_Data[Oils and fats])</f>
        <v>150.9</v>
      </c>
      <c r="C6" s="29"/>
      <c r="E6" s="8" t="s">
        <v>103</v>
      </c>
      <c r="F6" s="68">
        <f>CORREL($C$7:$C$33,R7:R33)</f>
        <v>7.5933293190965423E-2</v>
      </c>
      <c r="O6" s="64"/>
      <c r="P6" s="2">
        <v>44217</v>
      </c>
      <c r="Q6">
        <f>SUMIFS(CPI_Data[Food and beverages],CPI_Data[Year],YEAR(P6),CPI_Data[Month],TEXT(P6,"mmmm"),CPI_Data[Sector],"Rural+Urban")</f>
        <v>161</v>
      </c>
      <c r="T6" s="2">
        <v>44217</v>
      </c>
      <c r="U6">
        <f>SUMIFS(CPI_Data[Cereals and products],CPI_Data[Year],YEAR(A6),CPI_Data[Month],TEXT(A6,"mmmm"),CPI_Data[Sector],"Rural+Urban")</f>
        <v>144.9</v>
      </c>
      <c r="X6" s="2">
        <v>44217</v>
      </c>
      <c r="Y6">
        <f>SUMIFS(CPI_Data[Meat and fish],CPI_Data[Year],YEAR(A6),CPI_Data[Month],TEXT(A6,"mmmm"),CPI_Data[Sector],"Rural+Urban")</f>
        <v>190.1</v>
      </c>
      <c r="AB6" s="2">
        <v>44217</v>
      </c>
      <c r="AC6">
        <f>SUMIFS(CPI_Data[Egg],CPI_Data[Year],YEAR(A6),CPI_Data[Month],TEXT(A6,"mmmm"),CPI_Data[Sector],"Rural+Urban")</f>
        <v>175.3</v>
      </c>
      <c r="AF6" s="2">
        <v>44217</v>
      </c>
      <c r="AG6">
        <f>SUMIFS(CPI_Data[Milk and products],CPI_Data[Year],YEAR(A6),CPI_Data[Month],TEXT(A6,"mmmm"),CPI_Data[Sector],"Rural+Urban")</f>
        <v>154.1</v>
      </c>
      <c r="AJ6" s="2">
        <v>44217</v>
      </c>
      <c r="AK6">
        <f>SUMIFS(CPI_Data[Vegetables],CPI_Data[Year],YEAR(A6),CPI_Data[Month],TEXT(A6,"mmmm"),CPI_Data[Sector],"Rural+Urban")</f>
        <v>194.2</v>
      </c>
      <c r="AN6" s="2">
        <v>44217</v>
      </c>
      <c r="AO6">
        <f>SUMIFS(CPI_Data[Fuel and light],CPI_Data[Year],YEAR(A6),CPI_Data[Month],TEXT(A6,"mmmm"),CPI_Data[Sector],"Rural+Urban")</f>
        <v>147.9</v>
      </c>
      <c r="AR6" s="2">
        <v>44217</v>
      </c>
      <c r="AS6">
        <f>SUMIFS(CPI_Data[Health],CPI_Data[Year],YEAR(A6),CPI_Data[Month],TEXT(A6,"mmmm"),CPI_Data[Sector],"Rural+Urban")</f>
        <v>159.30000000000001</v>
      </c>
      <c r="AV6" s="2">
        <v>44217</v>
      </c>
      <c r="AW6">
        <f>SUMIFS(CPI_Data[Transport and communication],CPI_Data[Year],YEAR(A6),CPI_Data[Month],TEXT(A6,"mmmm"),CPI_Data[Sector],"Rural+Urban")</f>
        <v>141.9</v>
      </c>
      <c r="AZ6" s="2">
        <v>44217</v>
      </c>
      <c r="BA6">
        <f>SUMIFS(CPI_Data[Education],CPI_Data[Year],YEAR(A6),CPI_Data[Month],TEXT(A6,"mmmm"),CPI_Data[Sector],"Rural+Urban")</f>
        <v>159.19999999999999</v>
      </c>
    </row>
    <row r="7" spans="1:54" x14ac:dyDescent="0.25">
      <c r="A7" s="22">
        <v>44248</v>
      </c>
      <c r="B7" s="24" cm="1">
        <f t="array" ref="B7">_xlfn.XLOOKUP(1,(CPI_Data[Year]=YEAR(A7))*(CPI_Data[Month]=TEXT(A7,"mmmm"))*(CPI_Data[Sector]="Rural+Urban"),CPI_Data[Oils and fats])</f>
        <v>158.69999999999999</v>
      </c>
      <c r="C7" s="25">
        <f>(B7-B6)/B6*100</f>
        <v>5.1689860834989947</v>
      </c>
      <c r="E7" s="6" t="s">
        <v>104</v>
      </c>
      <c r="F7" s="66">
        <f>CORREL($C$7:$C$33,V7:V33)</f>
        <v>-0.18552294912671397</v>
      </c>
      <c r="P7" s="2">
        <v>44248</v>
      </c>
      <c r="Q7">
        <f>SUMIFS(CPI_Data[Food and beverages],CPI_Data[Year],YEAR(P7),CPI_Data[Month],TEXT(P7,"mmmm"),CPI_Data[Sector],"Rural+Urban")</f>
        <v>156.9</v>
      </c>
      <c r="R7" s="21">
        <f>(Q7-Q6)/Q6*100</f>
        <v>-2.5465838509316736</v>
      </c>
      <c r="T7" s="2">
        <v>44248</v>
      </c>
      <c r="U7">
        <f>SUMIFS(CPI_Data[Cereals and products],CPI_Data[Year],YEAR(A7),CPI_Data[Month],TEXT(A7,"mmmm"),CPI_Data[Sector],"Rural+Urban")</f>
        <v>144.30000000000001</v>
      </c>
      <c r="V7" s="21">
        <f>(U7-U6)/U6*100</f>
        <v>-0.41407867494823619</v>
      </c>
      <c r="X7" s="2">
        <v>44248</v>
      </c>
      <c r="Y7">
        <f>SUMIFS(CPI_Data[Meat and fish],CPI_Data[Year],YEAR(A7),CPI_Data[Month],TEXT(A7,"mmmm"),CPI_Data[Sector],"Rural+Urban")</f>
        <v>186.5</v>
      </c>
      <c r="Z7" s="21">
        <f>(Y7-Y6)/Y6*100</f>
        <v>-1.8937401367701181</v>
      </c>
      <c r="AB7" s="2">
        <v>44248</v>
      </c>
      <c r="AC7">
        <f>SUMIFS(CPI_Data[Egg],CPI_Data[Year],YEAR(A7),CPI_Data[Month],TEXT(A7,"mmmm"),CPI_Data[Sector],"Rural+Urban")</f>
        <v>168.7</v>
      </c>
      <c r="AD7" s="21">
        <f>(AC7-AC6)/AC6*100</f>
        <v>-3.7649743297204918</v>
      </c>
      <c r="AF7" s="2">
        <v>44248</v>
      </c>
      <c r="AG7">
        <f>SUMIFS(CPI_Data[Milk and products],CPI_Data[Year],YEAR(A7),CPI_Data[Month],TEXT(A7,"mmmm"),CPI_Data[Sector],"Rural+Urban")</f>
        <v>154.69999999999999</v>
      </c>
      <c r="AH7" s="21">
        <f>(AG7-AG6)/AG6*100</f>
        <v>0.38935756002595351</v>
      </c>
      <c r="AJ7" s="2">
        <v>44248</v>
      </c>
      <c r="AK7">
        <f>SUMIFS(CPI_Data[Vegetables],CPI_Data[Year],YEAR(A7),CPI_Data[Month],TEXT(A7,"mmmm"),CPI_Data[Sector],"Rural+Urban")</f>
        <v>160</v>
      </c>
      <c r="AL7" s="21">
        <f>(AK7-AK6)/AK6*100</f>
        <v>-17.610710607621005</v>
      </c>
      <c r="AN7" s="2">
        <v>44248</v>
      </c>
      <c r="AO7">
        <f>SUMIFS(CPI_Data[Fuel and light],CPI_Data[Year],YEAR(A7),CPI_Data[Month],TEXT(A7,"mmmm"),CPI_Data[Sector],"Rural+Urban")</f>
        <v>152.4</v>
      </c>
      <c r="AP7" s="21">
        <f>(AO7-AO6)/AO6*100</f>
        <v>3.0425963488843815</v>
      </c>
      <c r="AR7" s="2">
        <v>44248</v>
      </c>
      <c r="AS7">
        <f>SUMIFS(CPI_Data[Health],CPI_Data[Year],YEAR(A7),CPI_Data[Month],TEXT(A7,"mmmm"),CPI_Data[Sector],"Rural+Urban")</f>
        <v>161.30000000000001</v>
      </c>
      <c r="AT7" s="21">
        <f>(AS7-AS6)/AS6*100</f>
        <v>1.2554927809165097</v>
      </c>
      <c r="AV7" s="2">
        <v>44248</v>
      </c>
      <c r="AW7">
        <f>SUMIFS(CPI_Data[Transport and communication],CPI_Data[Year],YEAR(A7),CPI_Data[Month],TEXT(A7,"mmmm"),CPI_Data[Sector],"Rural+Urban")</f>
        <v>145.1</v>
      </c>
      <c r="AX7" s="21">
        <f>(AW7-AW6)/AW6*100</f>
        <v>2.2551092318534098</v>
      </c>
      <c r="AZ7" s="2">
        <v>44248</v>
      </c>
      <c r="BA7">
        <f>SUMIFS(CPI_Data[Education],CPI_Data[Year],YEAR(A7),CPI_Data[Month],TEXT(A7,"mmmm"),CPI_Data[Sector],"Rural+Urban")</f>
        <v>159.5</v>
      </c>
      <c r="BB7" s="21">
        <f>(BA7-BA6)/BA6*100</f>
        <v>0.18844221105528353</v>
      </c>
    </row>
    <row r="8" spans="1:54" x14ac:dyDescent="0.25">
      <c r="A8" s="22">
        <v>44276</v>
      </c>
      <c r="B8" s="24" cm="1">
        <f t="array" ref="B8">_xlfn.XLOOKUP(1,(CPI_Data[Year]=YEAR(A8))*(CPI_Data[Month]=TEXT(A8,"mmmm"))*(CPI_Data[Sector]="Rural+Urban"),CPI_Data[Oils and fats])</f>
        <v>163.9</v>
      </c>
      <c r="C8" s="25">
        <f t="shared" ref="C8:C33" si="0">(B8-B7)/B7*100</f>
        <v>3.2766225582860855</v>
      </c>
      <c r="E8" s="6" t="s">
        <v>105</v>
      </c>
      <c r="F8" s="66">
        <f>CORREL($C$7:$C$33,Z7:Z33)</f>
        <v>0.42897047156529466</v>
      </c>
      <c r="P8" s="2">
        <v>44276</v>
      </c>
      <c r="Q8">
        <f>SUMIFS(CPI_Data[Food and beverages],CPI_Data[Year],YEAR(P8),CPI_Data[Month],TEXT(P8,"mmmm"),CPI_Data[Sector],"Rural+Urban")</f>
        <v>156.69999999999999</v>
      </c>
      <c r="R8" s="21">
        <f t="shared" ref="R8:R33" si="1">(Q8-Q7)/Q7*100</f>
        <v>-0.12746972594010009</v>
      </c>
      <c r="T8" s="2">
        <v>44276</v>
      </c>
      <c r="U8">
        <f>SUMIFS(CPI_Data[Cereals and products],CPI_Data[Year],YEAR(A8),CPI_Data[Month],TEXT(A8,"mmmm"),CPI_Data[Sector],"Rural+Urban")</f>
        <v>144.1</v>
      </c>
      <c r="V8" s="21">
        <f t="shared" ref="V8:V33" si="2">(U8-U7)/U7*100</f>
        <v>-0.13860013860015039</v>
      </c>
      <c r="X8" s="2">
        <v>44276</v>
      </c>
      <c r="Y8">
        <f>SUMIFS(CPI_Data[Meat and fish],CPI_Data[Year],YEAR(A8),CPI_Data[Month],TEXT(A8,"mmmm"),CPI_Data[Sector],"Rural+Urban")</f>
        <v>192.2</v>
      </c>
      <c r="Z8" s="21">
        <f t="shared" ref="Z8:Z33" si="3">(Y8-Y7)/Y7*100</f>
        <v>3.0563002680965083</v>
      </c>
      <c r="AB8" s="2">
        <v>44276</v>
      </c>
      <c r="AC8">
        <f>SUMIFS(CPI_Data[Egg],CPI_Data[Year],YEAR(A8),CPI_Data[Month],TEXT(A8,"mmmm"),CPI_Data[Sector],"Rural+Urban")</f>
        <v>163.80000000000001</v>
      </c>
      <c r="AD8" s="21">
        <f t="shared" ref="AD8:AD33" si="4">(AC8-AC7)/AC7*100</f>
        <v>-2.9045643153526837</v>
      </c>
      <c r="AF8" s="2">
        <v>44276</v>
      </c>
      <c r="AG8">
        <f>SUMIFS(CPI_Data[Milk and products],CPI_Data[Year],YEAR(A8),CPI_Data[Month],TEXT(A8,"mmmm"),CPI_Data[Sector],"Rural+Urban")</f>
        <v>154.9</v>
      </c>
      <c r="AH8" s="21">
        <f t="shared" ref="AH8:AH33" si="5">(AG8-AG7)/AG7*100</f>
        <v>0.12928248222366973</v>
      </c>
      <c r="AJ8" s="2">
        <v>44276</v>
      </c>
      <c r="AK8">
        <f>SUMIFS(CPI_Data[Vegetables],CPI_Data[Year],YEAR(A8),CPI_Data[Month],TEXT(A8,"mmmm"),CPI_Data[Sector],"Rural+Urban")</f>
        <v>149.5</v>
      </c>
      <c r="AL8" s="21">
        <f t="shared" ref="AL8:AL33" si="6">(AK8-AK7)/AK7*100</f>
        <v>-6.5625</v>
      </c>
      <c r="AN8" s="2">
        <v>44276</v>
      </c>
      <c r="AO8">
        <f>SUMIFS(CPI_Data[Fuel and light],CPI_Data[Year],YEAR(A8),CPI_Data[Month],TEXT(A8,"mmmm"),CPI_Data[Sector],"Rural+Urban")</f>
        <v>155.5</v>
      </c>
      <c r="AP8" s="21">
        <f t="shared" ref="AP8:AP33" si="7">(AO8-AO7)/AO7*100</f>
        <v>2.0341207349081327</v>
      </c>
      <c r="AR8" s="2">
        <v>44276</v>
      </c>
      <c r="AS8">
        <f>SUMIFS(CPI_Data[Health],CPI_Data[Year],YEAR(A8),CPI_Data[Month],TEXT(A8,"mmmm"),CPI_Data[Sector],"Rural+Urban")</f>
        <v>161.69999999999999</v>
      </c>
      <c r="AT8" s="21">
        <f t="shared" ref="AT8:AT33" si="8">(AS8-AS7)/AS7*100</f>
        <v>0.24798512089273234</v>
      </c>
      <c r="AV8" s="2">
        <v>44276</v>
      </c>
      <c r="AW8">
        <f>SUMIFS(CPI_Data[Transport and communication],CPI_Data[Year],YEAR(A8),CPI_Data[Month],TEXT(A8,"mmmm"),CPI_Data[Sector],"Rural+Urban")</f>
        <v>146.19999999999999</v>
      </c>
      <c r="AX8" s="21">
        <f t="shared" ref="AX8:AX33" si="9">(AW8-AW7)/AW7*100</f>
        <v>0.75809786354238073</v>
      </c>
      <c r="AZ8" s="2">
        <v>44276</v>
      </c>
      <c r="BA8">
        <f>SUMIFS(CPI_Data[Education],CPI_Data[Year],YEAR(A8),CPI_Data[Month],TEXT(A8,"mmmm"),CPI_Data[Sector],"Rural+Urban")</f>
        <v>160.19999999999999</v>
      </c>
      <c r="BB8" s="21">
        <f t="shared" ref="BB8:BB33" si="10">(BA8-BA7)/BA7*100</f>
        <v>0.43887147335422488</v>
      </c>
    </row>
    <row r="9" spans="1:54" x14ac:dyDescent="0.25">
      <c r="A9" s="22">
        <v>44307</v>
      </c>
      <c r="B9" s="24" cm="1">
        <f t="array" ref="B9">_xlfn.XLOOKUP(1,(CPI_Data[Year]=YEAR(A9))*(CPI_Data[Month]=TEXT(A9,"mmmm"))*(CPI_Data[Sector]="Rural+Urban"),CPI_Data[Oils and fats])</f>
        <v>170.1</v>
      </c>
      <c r="C9" s="25">
        <f t="shared" si="0"/>
        <v>3.7827943868212257</v>
      </c>
      <c r="E9" s="6" t="s">
        <v>5</v>
      </c>
      <c r="F9" s="66">
        <f>CORREL($C$7:$C$33,AD7:AD33)</f>
        <v>1.2156112223623294E-2</v>
      </c>
      <c r="P9" s="2">
        <v>44307</v>
      </c>
      <c r="Q9">
        <f>SUMIFS(CPI_Data[Food and beverages],CPI_Data[Year],YEAR(P9),CPI_Data[Month],TEXT(P9,"mmmm"),CPI_Data[Sector],"Rural+Urban")</f>
        <v>158</v>
      </c>
      <c r="R9" s="21">
        <f t="shared" si="1"/>
        <v>0.82961072112317258</v>
      </c>
      <c r="T9" s="2">
        <v>44307</v>
      </c>
      <c r="U9">
        <f>SUMIFS(CPI_Data[Cereals and products],CPI_Data[Year],YEAR(A9),CPI_Data[Month],TEXT(A9,"mmmm"),CPI_Data[Sector],"Rural+Urban")</f>
        <v>144.30000000000001</v>
      </c>
      <c r="V9" s="21">
        <f t="shared" si="2"/>
        <v>0.13879250520473077</v>
      </c>
      <c r="X9" s="2">
        <v>44307</v>
      </c>
      <c r="Y9">
        <f>SUMIFS(CPI_Data[Meat and fish],CPI_Data[Year],YEAR(A9),CPI_Data[Month],TEXT(A9,"mmmm"),CPI_Data[Sector],"Rural+Urban")</f>
        <v>198</v>
      </c>
      <c r="Z9" s="21">
        <f t="shared" si="3"/>
        <v>3.0176899063475608</v>
      </c>
      <c r="AB9" s="2">
        <v>44307</v>
      </c>
      <c r="AC9">
        <f>SUMIFS(CPI_Data[Egg],CPI_Data[Year],YEAR(A9),CPI_Data[Month],TEXT(A9,"mmmm"),CPI_Data[Sector],"Rural+Urban")</f>
        <v>164.6</v>
      </c>
      <c r="AD9" s="21">
        <f t="shared" si="4"/>
        <v>0.48840048840047801</v>
      </c>
      <c r="AF9" s="2">
        <v>44307</v>
      </c>
      <c r="AG9">
        <f>SUMIFS(CPI_Data[Milk and products],CPI_Data[Year],YEAR(A9),CPI_Data[Month],TEXT(A9,"mmmm"),CPI_Data[Sector],"Rural+Urban")</f>
        <v>155.4</v>
      </c>
      <c r="AH9" s="21">
        <f t="shared" si="5"/>
        <v>0.32278889606197547</v>
      </c>
      <c r="AJ9" s="2">
        <v>44307</v>
      </c>
      <c r="AK9">
        <f>SUMIFS(CPI_Data[Vegetables],CPI_Data[Year],YEAR(A9),CPI_Data[Month],TEXT(A9,"mmmm"),CPI_Data[Sector],"Rural+Urban")</f>
        <v>144.1</v>
      </c>
      <c r="AL9" s="21">
        <f t="shared" si="6"/>
        <v>-3.612040133779268</v>
      </c>
      <c r="AN9" s="2">
        <v>44307</v>
      </c>
      <c r="AO9">
        <f>SUMIFS(CPI_Data[Fuel and light],CPI_Data[Year],YEAR(A9),CPI_Data[Month],TEXT(A9,"mmmm"),CPI_Data[Sector],"Rural+Urban")</f>
        <v>155.6</v>
      </c>
      <c r="AP9" s="21">
        <f t="shared" si="7"/>
        <v>6.4308681672022069E-2</v>
      </c>
      <c r="AR9" s="2">
        <v>44307</v>
      </c>
      <c r="AS9">
        <f>SUMIFS(CPI_Data[Health],CPI_Data[Year],YEAR(A9),CPI_Data[Month],TEXT(A9,"mmmm"),CPI_Data[Sector],"Rural+Urban")</f>
        <v>162.30000000000001</v>
      </c>
      <c r="AT9" s="21">
        <f t="shared" si="8"/>
        <v>0.3710575139146709</v>
      </c>
      <c r="AV9" s="2">
        <v>44307</v>
      </c>
      <c r="AW9">
        <f>SUMIFS(CPI_Data[Transport and communication],CPI_Data[Year],YEAR(A9),CPI_Data[Month],TEXT(A9,"mmmm"),CPI_Data[Sector],"Rural+Urban")</f>
        <v>146.6</v>
      </c>
      <c r="AX9" s="21">
        <f t="shared" si="9"/>
        <v>0.27359781121751414</v>
      </c>
      <c r="AZ9" s="2">
        <v>44307</v>
      </c>
      <c r="BA9">
        <f>SUMIFS(CPI_Data[Education],CPI_Data[Year],YEAR(A9),CPI_Data[Month],TEXT(A9,"mmmm"),CPI_Data[Sector],"Rural+Urban")</f>
        <v>160.30000000000001</v>
      </c>
      <c r="BB9" s="21">
        <f t="shared" si="10"/>
        <v>6.2421972534346275E-2</v>
      </c>
    </row>
    <row r="10" spans="1:54" x14ac:dyDescent="0.25">
      <c r="A10" s="22">
        <v>44337</v>
      </c>
      <c r="B10" s="24" cm="1">
        <f t="array" ref="B10">_xlfn.XLOOKUP(1,(CPI_Data[Year]=YEAR(A10))*(CPI_Data[Month]=TEXT(A10,"mmmm"))*(CPI_Data[Sector]="Rural+Urban"),CPI_Data[Oils and fats])</f>
        <v>178.7</v>
      </c>
      <c r="C10" s="25">
        <f t="shared" si="0"/>
        <v>5.0558495002939416</v>
      </c>
      <c r="E10" s="6" t="s">
        <v>109</v>
      </c>
      <c r="F10" s="66">
        <f>CORREL($C$7:$C$33,AH7:AH33)</f>
        <v>-0.29533638292446873</v>
      </c>
      <c r="P10" s="2">
        <v>44337</v>
      </c>
      <c r="Q10">
        <f>SUMIFS(CPI_Data[Food and beverages],CPI_Data[Year],YEAR(P10),CPI_Data[Month],TEXT(P10,"mmmm"),CPI_Data[Sector],"Rural+Urban")</f>
        <v>160.69999999999999</v>
      </c>
      <c r="R10" s="21">
        <f t="shared" si="1"/>
        <v>1.7088607594936638</v>
      </c>
      <c r="T10" s="2">
        <v>44337</v>
      </c>
      <c r="U10">
        <f>SUMIFS(CPI_Data[Cereals and products],CPI_Data[Year],YEAR(A10),CPI_Data[Month],TEXT(A10,"mmmm"),CPI_Data[Sector],"Rural+Urban")</f>
        <v>146.30000000000001</v>
      </c>
      <c r="V10" s="21">
        <f t="shared" si="2"/>
        <v>1.386001386001386</v>
      </c>
      <c r="X10" s="2">
        <v>44337</v>
      </c>
      <c r="Y10">
        <f>SUMIFS(CPI_Data[Meat and fish],CPI_Data[Year],YEAR(A10),CPI_Data[Month],TEXT(A10,"mmmm"),CPI_Data[Sector],"Rural+Urban")</f>
        <v>200.5</v>
      </c>
      <c r="Z10" s="21">
        <f t="shared" si="3"/>
        <v>1.2626262626262625</v>
      </c>
      <c r="AB10" s="2">
        <v>44337</v>
      </c>
      <c r="AC10">
        <f>SUMIFS(CPI_Data[Egg],CPI_Data[Year],YEAR(A10),CPI_Data[Month],TEXT(A10,"mmmm"),CPI_Data[Sector],"Rural+Urban")</f>
        <v>170.3</v>
      </c>
      <c r="AD10" s="21">
        <f t="shared" si="4"/>
        <v>3.4629404617254056</v>
      </c>
      <c r="AF10" s="2">
        <v>44337</v>
      </c>
      <c r="AG10">
        <f>SUMIFS(CPI_Data[Milk and products],CPI_Data[Year],YEAR(A10),CPI_Data[Month],TEXT(A10,"mmmm"),CPI_Data[Sector],"Rural+Urban")</f>
        <v>156.1</v>
      </c>
      <c r="AH10" s="21">
        <f t="shared" si="5"/>
        <v>0.45045045045044318</v>
      </c>
      <c r="AJ10" s="2">
        <v>44337</v>
      </c>
      <c r="AK10">
        <f>SUMIFS(CPI_Data[Vegetables],CPI_Data[Year],YEAR(A10),CPI_Data[Month],TEXT(A10,"mmmm"),CPI_Data[Sector],"Rural+Urban")</f>
        <v>147.9</v>
      </c>
      <c r="AL10" s="21">
        <f t="shared" si="6"/>
        <v>2.6370575988896681</v>
      </c>
      <c r="AN10" s="2">
        <v>44337</v>
      </c>
      <c r="AO10">
        <f>SUMIFS(CPI_Data[Fuel and light],CPI_Data[Year],YEAR(A10),CPI_Data[Month],TEXT(A10,"mmmm"),CPI_Data[Sector],"Rural+Urban")</f>
        <v>159.4</v>
      </c>
      <c r="AP10" s="21">
        <f t="shared" si="7"/>
        <v>2.4421593830334265</v>
      </c>
      <c r="AR10" s="2">
        <v>44337</v>
      </c>
      <c r="AS10">
        <f>SUMIFS(CPI_Data[Health],CPI_Data[Year],YEAR(A10),CPI_Data[Month],TEXT(A10,"mmmm"),CPI_Data[Sector],"Rural+Urban")</f>
        <v>165.8</v>
      </c>
      <c r="AT10" s="21">
        <f t="shared" si="8"/>
        <v>2.1565003080714726</v>
      </c>
      <c r="AV10" s="2">
        <v>44337</v>
      </c>
      <c r="AW10">
        <f>SUMIFS(CPI_Data[Transport and communication],CPI_Data[Year],YEAR(A10),CPI_Data[Month],TEXT(A10,"mmmm"),CPI_Data[Sector],"Rural+Urban")</f>
        <v>148.9</v>
      </c>
      <c r="AX10" s="21">
        <f t="shared" si="9"/>
        <v>1.5688949522510309</v>
      </c>
      <c r="AZ10" s="2">
        <v>44337</v>
      </c>
      <c r="BA10">
        <f>SUMIFS(CPI_Data[Education],CPI_Data[Year],YEAR(A10),CPI_Data[Month],TEXT(A10,"mmmm"),CPI_Data[Sector],"Rural+Urban")</f>
        <v>161.19999999999999</v>
      </c>
      <c r="BB10" s="21">
        <f t="shared" si="10"/>
        <v>0.56144728633810181</v>
      </c>
    </row>
    <row r="11" spans="1:54" x14ac:dyDescent="0.25">
      <c r="A11" s="22">
        <v>44368</v>
      </c>
      <c r="B11" s="24" cm="1">
        <f t="array" ref="B11">_xlfn.XLOOKUP(1,(CPI_Data[Year]=YEAR(A11))*(CPI_Data[Month]=TEXT(A11,"mmmm"))*(CPI_Data[Sector]="Rural+Urban"),CPI_Data[Oils and fats])</f>
        <v>183.7</v>
      </c>
      <c r="C11" s="25">
        <f t="shared" si="0"/>
        <v>2.7979854504756578</v>
      </c>
      <c r="E11" s="6" t="s">
        <v>9</v>
      </c>
      <c r="F11" s="66">
        <f>CORREL($C$7:$C$33,AL7:AL33)</f>
        <v>-0.20254440048319006</v>
      </c>
      <c r="P11" s="2">
        <v>44368</v>
      </c>
      <c r="Q11">
        <f>SUMIFS(CPI_Data[Food and beverages],CPI_Data[Year],YEAR(P11),CPI_Data[Month],TEXT(P11,"mmmm"),CPI_Data[Sector],"Rural+Urban")</f>
        <v>162.6</v>
      </c>
      <c r="R11" s="21">
        <f t="shared" si="1"/>
        <v>1.1823273179838243</v>
      </c>
      <c r="T11" s="2">
        <v>44368</v>
      </c>
      <c r="U11">
        <f>SUMIFS(CPI_Data[Cereals and products],CPI_Data[Year],YEAR(A11),CPI_Data[Month],TEXT(A11,"mmmm"),CPI_Data[Sector],"Rural+Urban")</f>
        <v>146.69999999999999</v>
      </c>
      <c r="V11" s="21">
        <f t="shared" si="2"/>
        <v>0.27341079972657367</v>
      </c>
      <c r="X11" s="2">
        <v>44368</v>
      </c>
      <c r="Y11">
        <f>SUMIFS(CPI_Data[Meat and fish],CPI_Data[Year],YEAR(A11),CPI_Data[Month],TEXT(A11,"mmmm"),CPI_Data[Sector],"Rural+Urban")</f>
        <v>202</v>
      </c>
      <c r="Z11" s="21">
        <f t="shared" si="3"/>
        <v>0.74812967581047385</v>
      </c>
      <c r="AB11" s="2">
        <v>44368</v>
      </c>
      <c r="AC11">
        <f>SUMIFS(CPI_Data[Egg],CPI_Data[Year],YEAR(A11),CPI_Data[Month],TEXT(A11,"mmmm"),CPI_Data[Sector],"Rural+Urban")</f>
        <v>180.7</v>
      </c>
      <c r="AD11" s="21">
        <f t="shared" si="4"/>
        <v>6.1068702290076198</v>
      </c>
      <c r="AF11" s="2">
        <v>44368</v>
      </c>
      <c r="AG11">
        <f>SUMIFS(CPI_Data[Milk and products],CPI_Data[Year],YEAR(A11),CPI_Data[Month],TEXT(A11,"mmmm"),CPI_Data[Sector],"Rural+Urban")</f>
        <v>156.19999999999999</v>
      </c>
      <c r="AH11" s="21">
        <f t="shared" si="5"/>
        <v>6.4061499039073877E-2</v>
      </c>
      <c r="AJ11" s="2">
        <v>44368</v>
      </c>
      <c r="AK11">
        <f>SUMIFS(CPI_Data[Vegetables],CPI_Data[Year],YEAR(A11),CPI_Data[Month],TEXT(A11,"mmmm"),CPI_Data[Sector],"Rural+Urban")</f>
        <v>155.4</v>
      </c>
      <c r="AL11" s="21">
        <f t="shared" si="6"/>
        <v>5.0709939148073024</v>
      </c>
      <c r="AN11" s="2">
        <v>44368</v>
      </c>
      <c r="AO11">
        <f>SUMIFS(CPI_Data[Fuel and light],CPI_Data[Year],YEAR(A11),CPI_Data[Month],TEXT(A11,"mmmm"),CPI_Data[Sector],"Rural+Urban")</f>
        <v>159.80000000000001</v>
      </c>
      <c r="AP11" s="21">
        <f t="shared" si="7"/>
        <v>0.25094102885822184</v>
      </c>
      <c r="AR11" s="2">
        <v>44368</v>
      </c>
      <c r="AS11">
        <f>SUMIFS(CPI_Data[Health],CPI_Data[Year],YEAR(A11),CPI_Data[Month],TEXT(A11,"mmmm"),CPI_Data[Sector],"Rural+Urban")</f>
        <v>166.3</v>
      </c>
      <c r="AT11" s="21">
        <f t="shared" si="8"/>
        <v>0.30156815440289503</v>
      </c>
      <c r="AV11" s="2">
        <v>44368</v>
      </c>
      <c r="AW11">
        <f>SUMIFS(CPI_Data[Transport and communication],CPI_Data[Year],YEAR(A11),CPI_Data[Month],TEXT(A11,"mmmm"),CPI_Data[Sector],"Rural+Urban")</f>
        <v>150.69999999999999</v>
      </c>
      <c r="AX11" s="21">
        <f t="shared" si="9"/>
        <v>1.2088650100738636</v>
      </c>
      <c r="AZ11" s="2">
        <v>44368</v>
      </c>
      <c r="BA11">
        <f>SUMIFS(CPI_Data[Education],CPI_Data[Year],YEAR(A11),CPI_Data[Month],TEXT(A11,"mmmm"),CPI_Data[Sector],"Rural+Urban")</f>
        <v>161.69999999999999</v>
      </c>
      <c r="BB11" s="21">
        <f t="shared" si="10"/>
        <v>0.3101736972704715</v>
      </c>
    </row>
    <row r="12" spans="1:54" x14ac:dyDescent="0.25">
      <c r="A12" s="22">
        <v>44398</v>
      </c>
      <c r="B12" s="24" cm="1">
        <f t="array" ref="B12">_xlfn.XLOOKUP(1,(CPI_Data[Year]=YEAR(A12))*(CPI_Data[Month]=TEXT(A12,"mmmm"))*(CPI_Data[Sector]="Rural+Urban"),CPI_Data[Oils and fats])</f>
        <v>182.1</v>
      </c>
      <c r="C12" s="25">
        <f t="shared" si="0"/>
        <v>-0.87098530212302361</v>
      </c>
      <c r="E12" s="6" t="s">
        <v>106</v>
      </c>
      <c r="F12" s="67">
        <f>CORREL($C$7:$C$33,AP7:AP33)</f>
        <v>0.56677410462788358</v>
      </c>
      <c r="P12" s="2">
        <v>44398</v>
      </c>
      <c r="Q12">
        <f>SUMIFS(CPI_Data[Food and beverages],CPI_Data[Year],YEAR(P12),CPI_Data[Month],TEXT(P12,"mmmm"),CPI_Data[Sector],"Rural+Urban")</f>
        <v>164</v>
      </c>
      <c r="R12" s="21">
        <f t="shared" si="1"/>
        <v>0.86100861008610452</v>
      </c>
      <c r="T12" s="2">
        <v>44398</v>
      </c>
      <c r="U12">
        <f>SUMIFS(CPI_Data[Cereals and products],CPI_Data[Year],YEAR(A12),CPI_Data[Month],TEXT(A12,"mmmm"),CPI_Data[Sector],"Rural+Urban")</f>
        <v>146.4</v>
      </c>
      <c r="V12" s="21">
        <f t="shared" si="2"/>
        <v>-0.20449897750510088</v>
      </c>
      <c r="X12" s="2">
        <v>44398</v>
      </c>
      <c r="Y12">
        <f>SUMIFS(CPI_Data[Meat and fish],CPI_Data[Year],YEAR(A12),CPI_Data[Month],TEXT(A12,"mmmm"),CPI_Data[Sector],"Rural+Urban")</f>
        <v>206.8</v>
      </c>
      <c r="Z12" s="21">
        <f t="shared" si="3"/>
        <v>2.3762376237623819</v>
      </c>
      <c r="AB12" s="2">
        <v>44398</v>
      </c>
      <c r="AC12">
        <f>SUMIFS(CPI_Data[Egg],CPI_Data[Year],YEAR(A12),CPI_Data[Month],TEXT(A12,"mmmm"),CPI_Data[Sector],"Rural+Urban")</f>
        <v>182.2</v>
      </c>
      <c r="AD12" s="21">
        <f t="shared" si="4"/>
        <v>0.83010514665190926</v>
      </c>
      <c r="AF12" s="2">
        <v>44398</v>
      </c>
      <c r="AG12">
        <f>SUMIFS(CPI_Data[Milk and products],CPI_Data[Year],YEAR(A12),CPI_Data[Month],TEXT(A12,"mmmm"),CPI_Data[Sector],"Rural+Urban")</f>
        <v>157.5</v>
      </c>
      <c r="AH12" s="21">
        <f t="shared" si="5"/>
        <v>0.83226632522407895</v>
      </c>
      <c r="AJ12" s="2">
        <v>44398</v>
      </c>
      <c r="AK12">
        <f>SUMIFS(CPI_Data[Vegetables],CPI_Data[Year],YEAR(A12),CPI_Data[Month],TEXT(A12,"mmmm"),CPI_Data[Sector],"Rural+Urban")</f>
        <v>164.2</v>
      </c>
      <c r="AL12" s="21">
        <f t="shared" si="6"/>
        <v>5.6628056628056518</v>
      </c>
      <c r="AN12" s="2">
        <v>44398</v>
      </c>
      <c r="AO12">
        <f>SUMIFS(CPI_Data[Fuel and light],CPI_Data[Year],YEAR(A12),CPI_Data[Month],TEXT(A12,"mmmm"),CPI_Data[Sector],"Rural+Urban")</f>
        <v>160.69999999999999</v>
      </c>
      <c r="AP12" s="21">
        <f t="shared" si="7"/>
        <v>0.56320400500624357</v>
      </c>
      <c r="AR12" s="2">
        <v>44398</v>
      </c>
      <c r="AS12">
        <f>SUMIFS(CPI_Data[Health],CPI_Data[Year],YEAR(A12),CPI_Data[Month],TEXT(A12,"mmmm"),CPI_Data[Sector],"Rural+Urban")</f>
        <v>167</v>
      </c>
      <c r="AT12" s="21">
        <f t="shared" si="8"/>
        <v>0.42092603728201361</v>
      </c>
      <c r="AV12" s="2">
        <v>44398</v>
      </c>
      <c r="AW12">
        <f>SUMIFS(CPI_Data[Transport and communication],CPI_Data[Year],YEAR(A12),CPI_Data[Month],TEXT(A12,"mmmm"),CPI_Data[Sector],"Rural+Urban")</f>
        <v>153.1</v>
      </c>
      <c r="AX12" s="21">
        <f t="shared" si="9"/>
        <v>1.5925680159256841</v>
      </c>
      <c r="AZ12" s="2">
        <v>44398</v>
      </c>
      <c r="BA12">
        <f>SUMIFS(CPI_Data[Education],CPI_Data[Year],YEAR(A12),CPI_Data[Month],TEXT(A12,"mmmm"),CPI_Data[Sector],"Rural+Urban")</f>
        <v>163.19999999999999</v>
      </c>
      <c r="BB12" s="21">
        <f t="shared" si="10"/>
        <v>0.927643784786642</v>
      </c>
    </row>
    <row r="13" spans="1:54" x14ac:dyDescent="0.25">
      <c r="A13" s="22">
        <v>44429</v>
      </c>
      <c r="B13" s="24" cm="1">
        <f t="array" ref="B13">_xlfn.XLOOKUP(1,(CPI_Data[Year]=YEAR(A13))*(CPI_Data[Month]=TEXT(A13,"mmmm"))*(CPI_Data[Sector]="Rural+Urban"),CPI_Data[Oils and fats])</f>
        <v>188</v>
      </c>
      <c r="C13" s="25">
        <f t="shared" si="0"/>
        <v>3.2399780340472297</v>
      </c>
      <c r="E13" s="6" t="s">
        <v>23</v>
      </c>
      <c r="F13" s="66">
        <f>CORREL($C$7:$C$33,AT7:AT33)</f>
        <v>0.31478007564938892</v>
      </c>
      <c r="P13" s="2">
        <v>44429</v>
      </c>
      <c r="Q13">
        <f>SUMIFS(CPI_Data[Food and beverages],CPI_Data[Year],YEAR(P13),CPI_Data[Month],TEXT(P13,"mmmm"),CPI_Data[Sector],"Rural+Urban")</f>
        <v>164</v>
      </c>
      <c r="R13" s="21">
        <f t="shared" si="1"/>
        <v>0</v>
      </c>
      <c r="T13" s="2">
        <v>44429</v>
      </c>
      <c r="U13">
        <f>SUMIFS(CPI_Data[Cereals and products],CPI_Data[Year],YEAR(A13),CPI_Data[Month],TEXT(A13,"mmmm"),CPI_Data[Sector],"Rural+Urban")</f>
        <v>146.6</v>
      </c>
      <c r="V13" s="21">
        <f t="shared" si="2"/>
        <v>0.13661202185791574</v>
      </c>
      <c r="X13" s="2">
        <v>44429</v>
      </c>
      <c r="Y13">
        <f>SUMIFS(CPI_Data[Meat and fish],CPI_Data[Year],YEAR(A13),CPI_Data[Month],TEXT(A13,"mmmm"),CPI_Data[Sector],"Rural+Urban")</f>
        <v>204</v>
      </c>
      <c r="Z13" s="21">
        <f t="shared" si="3"/>
        <v>-1.3539651837524231</v>
      </c>
      <c r="AB13" s="2">
        <v>44429</v>
      </c>
      <c r="AC13">
        <f>SUMIFS(CPI_Data[Egg],CPI_Data[Year],YEAR(A13),CPI_Data[Month],TEXT(A13,"mmmm"),CPI_Data[Sector],"Rural+Urban")</f>
        <v>172.8</v>
      </c>
      <c r="AD13" s="21">
        <f t="shared" si="4"/>
        <v>-5.1591657519209537</v>
      </c>
      <c r="AF13" s="2">
        <v>44429</v>
      </c>
      <c r="AG13">
        <f>SUMIFS(CPI_Data[Milk and products],CPI_Data[Year],YEAR(A13),CPI_Data[Month],TEXT(A13,"mmmm"),CPI_Data[Sector],"Rural+Urban")</f>
        <v>158.4</v>
      </c>
      <c r="AH13" s="21">
        <f t="shared" si="5"/>
        <v>0.57142857142857506</v>
      </c>
      <c r="AJ13" s="2">
        <v>44429</v>
      </c>
      <c r="AK13">
        <f>SUMIFS(CPI_Data[Vegetables],CPI_Data[Year],YEAR(A13),CPI_Data[Month],TEXT(A13,"mmmm"),CPI_Data[Sector],"Rural+Urban")</f>
        <v>162.19999999999999</v>
      </c>
      <c r="AL13" s="21">
        <f t="shared" si="6"/>
        <v>-1.2180267965895251</v>
      </c>
      <c r="AN13" s="2">
        <v>44429</v>
      </c>
      <c r="AO13">
        <f>SUMIFS(CPI_Data[Fuel and light],CPI_Data[Year],YEAR(A13),CPI_Data[Month],TEXT(A13,"mmmm"),CPI_Data[Sector],"Rural+Urban")</f>
        <v>162.6</v>
      </c>
      <c r="AP13" s="21">
        <f t="shared" si="7"/>
        <v>1.1823273179838243</v>
      </c>
      <c r="AR13" s="2">
        <v>44429</v>
      </c>
      <c r="AS13">
        <f>SUMIFS(CPI_Data[Health],CPI_Data[Year],YEAR(A13),CPI_Data[Month],TEXT(A13,"mmmm"),CPI_Data[Sector],"Rural+Urban")</f>
        <v>168.4</v>
      </c>
      <c r="AT13" s="21">
        <f t="shared" si="8"/>
        <v>0.83832335329341656</v>
      </c>
      <c r="AV13" s="2">
        <v>44429</v>
      </c>
      <c r="AW13">
        <f>SUMIFS(CPI_Data[Transport and communication],CPI_Data[Year],YEAR(A13),CPI_Data[Month],TEXT(A13,"mmmm"),CPI_Data[Sector],"Rural+Urban")</f>
        <v>154</v>
      </c>
      <c r="AX13" s="21">
        <f t="shared" si="9"/>
        <v>0.58785107772697953</v>
      </c>
      <c r="AZ13" s="2">
        <v>44429</v>
      </c>
      <c r="BA13">
        <f>SUMIFS(CPI_Data[Education],CPI_Data[Year],YEAR(A13),CPI_Data[Month],TEXT(A13,"mmmm"),CPI_Data[Sector],"Rural+Urban")</f>
        <v>163.80000000000001</v>
      </c>
      <c r="BB13" s="21">
        <f t="shared" si="10"/>
        <v>0.36764705882354337</v>
      </c>
    </row>
    <row r="14" spans="1:54" ht="15" customHeight="1" x14ac:dyDescent="0.25">
      <c r="A14" s="22">
        <v>44460</v>
      </c>
      <c r="B14" s="24" cm="1">
        <f t="array" ref="B14">_xlfn.XLOOKUP(1,(CPI_Data[Year]=YEAR(A14))*(CPI_Data[Month]=TEXT(A14,"mmmm"))*(CPI_Data[Sector]="Rural+Urban"),CPI_Data[Oils and fats])</f>
        <v>188</v>
      </c>
      <c r="C14" s="25">
        <f t="shared" si="0"/>
        <v>0</v>
      </c>
      <c r="E14" s="6" t="s">
        <v>62</v>
      </c>
      <c r="F14" s="66">
        <f>CORREL($C$7:$C$33,AX7:AX33)</f>
        <v>0.48186156352268306</v>
      </c>
      <c r="P14" s="2">
        <v>44460</v>
      </c>
      <c r="Q14">
        <f>SUMIFS(CPI_Data[Food and beverages],CPI_Data[Year],YEAR(P14),CPI_Data[Month],TEXT(P14,"mmmm"),CPI_Data[Sector],"Rural+Urban")</f>
        <v>164</v>
      </c>
      <c r="R14" s="21">
        <f t="shared" si="1"/>
        <v>0</v>
      </c>
      <c r="T14" s="2">
        <v>44460</v>
      </c>
      <c r="U14">
        <f>SUMIFS(CPI_Data[Cereals and products],CPI_Data[Year],YEAR(A14),CPI_Data[Month],TEXT(A14,"mmmm"),CPI_Data[Sector],"Rural+Urban")</f>
        <v>146.6</v>
      </c>
      <c r="V14" s="21">
        <f t="shared" si="2"/>
        <v>0</v>
      </c>
      <c r="X14" s="2">
        <v>44460</v>
      </c>
      <c r="Y14">
        <f>SUMIFS(CPI_Data[Meat and fish],CPI_Data[Year],YEAR(A14),CPI_Data[Month],TEXT(A14,"mmmm"),CPI_Data[Sector],"Rural+Urban")</f>
        <v>204</v>
      </c>
      <c r="Z14" s="21">
        <f t="shared" si="3"/>
        <v>0</v>
      </c>
      <c r="AB14" s="2">
        <v>44460</v>
      </c>
      <c r="AC14">
        <f>SUMIFS(CPI_Data[Egg],CPI_Data[Year],YEAR(A14),CPI_Data[Month],TEXT(A14,"mmmm"),CPI_Data[Sector],"Rural+Urban")</f>
        <v>172.8</v>
      </c>
      <c r="AD14" s="21">
        <f t="shared" si="4"/>
        <v>0</v>
      </c>
      <c r="AF14" s="2">
        <v>44460</v>
      </c>
      <c r="AG14">
        <f>SUMIFS(CPI_Data[Milk and products],CPI_Data[Year],YEAR(A14),CPI_Data[Month],TEXT(A14,"mmmm"),CPI_Data[Sector],"Rural+Urban")</f>
        <v>158.4</v>
      </c>
      <c r="AH14" s="21">
        <f t="shared" si="5"/>
        <v>0</v>
      </c>
      <c r="AJ14" s="2">
        <v>44460</v>
      </c>
      <c r="AK14">
        <f>SUMIFS(CPI_Data[Vegetables],CPI_Data[Year],YEAR(A14),CPI_Data[Month],TEXT(A14,"mmmm"),CPI_Data[Sector],"Rural+Urban")</f>
        <v>162.30000000000001</v>
      </c>
      <c r="AL14" s="21">
        <f t="shared" si="6"/>
        <v>6.1652281134415995E-2</v>
      </c>
      <c r="AN14" s="2">
        <v>44460</v>
      </c>
      <c r="AO14">
        <f>SUMIFS(CPI_Data[Fuel and light],CPI_Data[Year],YEAR(A14),CPI_Data[Month],TEXT(A14,"mmmm"),CPI_Data[Sector],"Rural+Urban")</f>
        <v>162.6</v>
      </c>
      <c r="AP14" s="21">
        <f t="shared" si="7"/>
        <v>0</v>
      </c>
      <c r="AR14" s="2">
        <v>44460</v>
      </c>
      <c r="AS14">
        <f>SUMIFS(CPI_Data[Health],CPI_Data[Year],YEAR(A14),CPI_Data[Month],TEXT(A14,"mmmm"),CPI_Data[Sector],"Rural+Urban")</f>
        <v>168.4</v>
      </c>
      <c r="AT14" s="21">
        <f t="shared" si="8"/>
        <v>0</v>
      </c>
      <c r="AV14" s="2">
        <v>44460</v>
      </c>
      <c r="AW14">
        <f>SUMIFS(CPI_Data[Transport and communication],CPI_Data[Year],YEAR(A14),CPI_Data[Month],TEXT(A14,"mmmm"),CPI_Data[Sector],"Rural+Urban")</f>
        <v>154</v>
      </c>
      <c r="AX14" s="21">
        <f t="shared" si="9"/>
        <v>0</v>
      </c>
      <c r="AZ14" s="2">
        <v>44460</v>
      </c>
      <c r="BA14">
        <f>SUMIFS(CPI_Data[Education],CPI_Data[Year],YEAR(A14),CPI_Data[Month],TEXT(A14,"mmmm"),CPI_Data[Sector],"Rural+Urban")</f>
        <v>163.69999999999999</v>
      </c>
      <c r="BB14" s="21">
        <f t="shared" si="10"/>
        <v>-6.1050061050074926E-2</v>
      </c>
    </row>
    <row r="15" spans="1:54" x14ac:dyDescent="0.25">
      <c r="A15" s="22">
        <v>44490</v>
      </c>
      <c r="B15" s="24" cm="1">
        <f t="array" ref="B15">_xlfn.XLOOKUP(1,(CPI_Data[Year]=YEAR(A15))*(CPI_Data[Month]=TEXT(A15,"mmmm"))*(CPI_Data[Sector]="Rural+Urban"),CPI_Data[Oils and fats])</f>
        <v>190.6</v>
      </c>
      <c r="C15" s="25">
        <f t="shared" si="0"/>
        <v>1.3829787234042523</v>
      </c>
      <c r="E15" s="6" t="s">
        <v>26</v>
      </c>
      <c r="F15" s="66">
        <f>CORREL($C$7:$C$33,BB7:BB33)</f>
        <v>-0.23085616692933014</v>
      </c>
      <c r="P15" s="2">
        <v>44490</v>
      </c>
      <c r="Q15">
        <f>SUMIFS(CPI_Data[Food and beverages],CPI_Data[Year],YEAR(P15),CPI_Data[Month],TEXT(P15,"mmmm"),CPI_Data[Sector],"Rural+Urban")</f>
        <v>167.7</v>
      </c>
      <c r="R15" s="21">
        <f t="shared" si="1"/>
        <v>2.2560975609756029</v>
      </c>
      <c r="T15" s="2">
        <v>44490</v>
      </c>
      <c r="U15">
        <f>SUMIFS(CPI_Data[Cereals and products],CPI_Data[Year],YEAR(A15),CPI_Data[Month],TEXT(A15,"mmmm"),CPI_Data[Sector],"Rural+Urban")</f>
        <v>147.4</v>
      </c>
      <c r="V15" s="21">
        <f t="shared" si="2"/>
        <v>0.54570259208732019</v>
      </c>
      <c r="X15" s="2">
        <v>44490</v>
      </c>
      <c r="Y15">
        <f>SUMIFS(CPI_Data[Meat and fish],CPI_Data[Year],YEAR(A15),CPI_Data[Month],TEXT(A15,"mmmm"),CPI_Data[Sector],"Rural+Urban")</f>
        <v>204.6</v>
      </c>
      <c r="Z15" s="21">
        <f t="shared" si="3"/>
        <v>0.29411764705882076</v>
      </c>
      <c r="AB15" s="2">
        <v>44490</v>
      </c>
      <c r="AC15">
        <f>SUMIFS(CPI_Data[Egg],CPI_Data[Year],YEAR(A15),CPI_Data[Month],TEXT(A15,"mmmm"),CPI_Data[Sector],"Rural+Urban")</f>
        <v>171.2</v>
      </c>
      <c r="AD15" s="21">
        <f t="shared" si="4"/>
        <v>-0.92592592592593903</v>
      </c>
      <c r="AF15" s="2">
        <v>44490</v>
      </c>
      <c r="AG15">
        <f>SUMIFS(CPI_Data[Milk and products],CPI_Data[Year],YEAR(A15),CPI_Data[Month],TEXT(A15,"mmmm"),CPI_Data[Sector],"Rural+Urban")</f>
        <v>158.69999999999999</v>
      </c>
      <c r="AH15" s="21">
        <f t="shared" si="5"/>
        <v>0.18939393939392862</v>
      </c>
      <c r="AJ15" s="2">
        <v>44490</v>
      </c>
      <c r="AK15">
        <f>SUMIFS(CPI_Data[Vegetables],CPI_Data[Year],YEAR(A15),CPI_Data[Month],TEXT(A15,"mmmm"),CPI_Data[Sector],"Rural+Urban")</f>
        <v>185.3</v>
      </c>
      <c r="AL15" s="21">
        <f t="shared" si="6"/>
        <v>14.171287738755389</v>
      </c>
      <c r="AN15" s="2">
        <v>44490</v>
      </c>
      <c r="AO15">
        <f>SUMIFS(CPI_Data[Fuel and light],CPI_Data[Year],YEAR(A15),CPI_Data[Month],TEXT(A15,"mmmm"),CPI_Data[Sector],"Rural+Urban")</f>
        <v>164.2</v>
      </c>
      <c r="AP15" s="21">
        <f t="shared" si="7"/>
        <v>0.98400984009839754</v>
      </c>
      <c r="AR15" s="2">
        <v>44490</v>
      </c>
      <c r="AS15">
        <f>SUMIFS(CPI_Data[Health],CPI_Data[Year],YEAR(A15),CPI_Data[Month],TEXT(A15,"mmmm"),CPI_Data[Sector],"Rural+Urban")</f>
        <v>169.1</v>
      </c>
      <c r="AT15" s="21">
        <f t="shared" si="8"/>
        <v>0.41567695961994572</v>
      </c>
      <c r="AV15" s="2">
        <v>44490</v>
      </c>
      <c r="AW15">
        <f>SUMIFS(CPI_Data[Transport and communication],CPI_Data[Year],YEAR(A15),CPI_Data[Month],TEXT(A15,"mmmm"),CPI_Data[Sector],"Rural+Urban")</f>
        <v>155.69999999999999</v>
      </c>
      <c r="AX15" s="21">
        <f t="shared" si="9"/>
        <v>1.1038961038960964</v>
      </c>
      <c r="AZ15" s="2">
        <v>44490</v>
      </c>
      <c r="BA15">
        <f>SUMIFS(CPI_Data[Education],CPI_Data[Year],YEAR(A15),CPI_Data[Month],TEXT(A15,"mmmm"),CPI_Data[Sector],"Rural+Urban")</f>
        <v>163.9</v>
      </c>
      <c r="BB15" s="21">
        <f t="shared" si="10"/>
        <v>0.12217470983507457</v>
      </c>
    </row>
    <row r="16" spans="1:54" x14ac:dyDescent="0.25">
      <c r="A16" s="22">
        <v>44521</v>
      </c>
      <c r="B16" s="24" cm="1">
        <f t="array" ref="B16">_xlfn.XLOOKUP(1,(CPI_Data[Year]=YEAR(A16))*(CPI_Data[Month]=TEXT(A16,"mmmm"))*(CPI_Data[Sector]="Rural+Urban"),CPI_Data[Oils and fats])</f>
        <v>190.1</v>
      </c>
      <c r="C16" s="25">
        <f t="shared" si="0"/>
        <v>-0.26232948583420779</v>
      </c>
      <c r="E16" s="5"/>
      <c r="F16" s="47"/>
      <c r="P16" s="2">
        <v>44521</v>
      </c>
      <c r="Q16">
        <f>SUMIFS(CPI_Data[Food and beverages],CPI_Data[Year],YEAR(P16),CPI_Data[Month],TEXT(P16,"mmmm"),CPI_Data[Sector],"Rural+Urban")</f>
        <v>169.7</v>
      </c>
      <c r="R16" s="21">
        <f t="shared" si="1"/>
        <v>1.1926058437686344</v>
      </c>
      <c r="T16" s="2">
        <v>44521</v>
      </c>
      <c r="U16">
        <f>SUMIFS(CPI_Data[Cereals and products],CPI_Data[Year],YEAR(A16),CPI_Data[Month],TEXT(A16,"mmmm"),CPI_Data[Sector],"Rural+Urban")</f>
        <v>148.19999999999999</v>
      </c>
      <c r="V16" s="21">
        <f t="shared" si="2"/>
        <v>0.54274084124829236</v>
      </c>
      <c r="X16" s="2">
        <v>44521</v>
      </c>
      <c r="Y16">
        <f>SUMIFS(CPI_Data[Meat and fish],CPI_Data[Year],YEAR(A16),CPI_Data[Month],TEXT(A16,"mmmm"),CPI_Data[Sector],"Rural+Urban")</f>
        <v>201.6</v>
      </c>
      <c r="Z16" s="21">
        <f t="shared" si="3"/>
        <v>-1.466275659824047</v>
      </c>
      <c r="AB16" s="2">
        <v>44521</v>
      </c>
      <c r="AC16">
        <f>SUMIFS(CPI_Data[Egg],CPI_Data[Year],YEAR(A16),CPI_Data[Month],TEXT(A16,"mmmm"),CPI_Data[Sector],"Rural+Urban")</f>
        <v>173</v>
      </c>
      <c r="AD16" s="21">
        <f t="shared" si="4"/>
        <v>1.0514018691588851</v>
      </c>
      <c r="AF16" s="2">
        <v>44521</v>
      </c>
      <c r="AG16">
        <f>SUMIFS(CPI_Data[Milk and products],CPI_Data[Year],YEAR(A16),CPI_Data[Month],TEXT(A16,"mmmm"),CPI_Data[Sector],"Rural+Urban")</f>
        <v>159.30000000000001</v>
      </c>
      <c r="AH16" s="21">
        <f t="shared" si="5"/>
        <v>0.37807183364840757</v>
      </c>
      <c r="AJ16" s="2">
        <v>44521</v>
      </c>
      <c r="AK16">
        <f>SUMIFS(CPI_Data[Vegetables],CPI_Data[Year],YEAR(A16),CPI_Data[Month],TEXT(A16,"mmmm"),CPI_Data[Sector],"Rural+Urban")</f>
        <v>199.2</v>
      </c>
      <c r="AL16" s="21">
        <f t="shared" si="6"/>
        <v>7.501349163518606</v>
      </c>
      <c r="AN16" s="2">
        <v>44521</v>
      </c>
      <c r="AO16">
        <f>SUMIFS(CPI_Data[Fuel and light],CPI_Data[Year],YEAR(A16),CPI_Data[Month],TEXT(A16,"mmmm"),CPI_Data[Sector],"Rural+Urban")</f>
        <v>163.9</v>
      </c>
      <c r="AP16" s="21">
        <f t="shared" si="7"/>
        <v>-0.18270401948841836</v>
      </c>
      <c r="AR16" s="2">
        <v>44521</v>
      </c>
      <c r="AS16">
        <f>SUMIFS(CPI_Data[Health],CPI_Data[Year],YEAR(A16),CPI_Data[Month],TEXT(A16,"mmmm"),CPI_Data[Sector],"Rural+Urban")</f>
        <v>169.9</v>
      </c>
      <c r="AT16" s="21">
        <f t="shared" si="8"/>
        <v>0.47309284447073408</v>
      </c>
      <c r="AV16" s="2">
        <v>44521</v>
      </c>
      <c r="AW16">
        <f>SUMIFS(CPI_Data[Transport and communication],CPI_Data[Year],YEAR(A16),CPI_Data[Month],TEXT(A16,"mmmm"),CPI_Data[Sector],"Rural+Urban")</f>
        <v>154.80000000000001</v>
      </c>
      <c r="AX16" s="21">
        <f t="shared" si="9"/>
        <v>-0.57803468208091024</v>
      </c>
      <c r="AZ16" s="2">
        <v>44521</v>
      </c>
      <c r="BA16">
        <f>SUMIFS(CPI_Data[Education],CPI_Data[Year],YEAR(A16),CPI_Data[Month],TEXT(A16,"mmmm"),CPI_Data[Sector],"Rural+Urban")</f>
        <v>164.3</v>
      </c>
      <c r="BB16" s="21">
        <f t="shared" si="10"/>
        <v>0.24405125076266362</v>
      </c>
    </row>
    <row r="17" spans="1:54" x14ac:dyDescent="0.25">
      <c r="A17" s="22">
        <v>44551</v>
      </c>
      <c r="B17" s="24" cm="1">
        <f t="array" ref="B17">_xlfn.XLOOKUP(1,(CPI_Data[Year]=YEAR(A17))*(CPI_Data[Month]=TEXT(A17,"mmmm"))*(CPI_Data[Sector]="Rural+Urban"),CPI_Data[Oils and fats])</f>
        <v>187.6</v>
      </c>
      <c r="C17" s="25">
        <f t="shared" si="0"/>
        <v>-1.3150973172014728</v>
      </c>
      <c r="E17" s="2"/>
      <c r="P17" s="2">
        <v>44551</v>
      </c>
      <c r="Q17">
        <f>SUMIFS(CPI_Data[Food and beverages],CPI_Data[Year],YEAR(P17),CPI_Data[Month],TEXT(P17,"mmmm"),CPI_Data[Sector],"Rural+Urban")</f>
        <v>168.2</v>
      </c>
      <c r="R17" s="21">
        <f t="shared" si="1"/>
        <v>-0.8839127872716559</v>
      </c>
      <c r="T17" s="2">
        <v>44551</v>
      </c>
      <c r="U17">
        <f>SUMIFS(CPI_Data[Cereals and products],CPI_Data[Year],YEAR(A17),CPI_Data[Month],TEXT(A17,"mmmm"),CPI_Data[Sector],"Rural+Urban")</f>
        <v>148.69999999999999</v>
      </c>
      <c r="V17" s="21">
        <f t="shared" si="2"/>
        <v>0.33738191632928477</v>
      </c>
      <c r="X17" s="2">
        <v>44551</v>
      </c>
      <c r="Y17">
        <f>SUMIFS(CPI_Data[Meat and fish],CPI_Data[Year],YEAR(A17),CPI_Data[Month],TEXT(A17,"mmmm"),CPI_Data[Sector],"Rural+Urban")</f>
        <v>198.8</v>
      </c>
      <c r="Z17" s="21">
        <f t="shared" si="3"/>
        <v>-1.3888888888888804</v>
      </c>
      <c r="AB17" s="2">
        <v>44551</v>
      </c>
      <c r="AC17">
        <f>SUMIFS(CPI_Data[Egg],CPI_Data[Year],YEAR(A17),CPI_Data[Month],TEXT(A17,"mmmm"),CPI_Data[Sector],"Rural+Urban")</f>
        <v>177.9</v>
      </c>
      <c r="AD17" s="21">
        <f t="shared" si="4"/>
        <v>2.8323699421965354</v>
      </c>
      <c r="AF17" s="2">
        <v>44551</v>
      </c>
      <c r="AG17">
        <f>SUMIFS(CPI_Data[Milk and products],CPI_Data[Year],YEAR(A17),CPI_Data[Month],TEXT(A17,"mmmm"),CPI_Data[Sector],"Rural+Urban")</f>
        <v>159.9</v>
      </c>
      <c r="AH17" s="21">
        <f t="shared" si="5"/>
        <v>0.3766478342749493</v>
      </c>
      <c r="AJ17" s="2">
        <v>44551</v>
      </c>
      <c r="AK17">
        <f>SUMIFS(CPI_Data[Vegetables],CPI_Data[Year],YEAR(A17),CPI_Data[Month],TEXT(A17,"mmmm"),CPI_Data[Sector],"Rural+Urban")</f>
        <v>188.3</v>
      </c>
      <c r="AL17" s="21">
        <f t="shared" si="6"/>
        <v>-5.4718875502007922</v>
      </c>
      <c r="AN17" s="2">
        <v>44551</v>
      </c>
      <c r="AO17">
        <f>SUMIFS(CPI_Data[Fuel and light],CPI_Data[Year],YEAR(A17),CPI_Data[Month],TEXT(A17,"mmmm"),CPI_Data[Sector],"Rural+Urban")</f>
        <v>164.1</v>
      </c>
      <c r="AP17" s="21">
        <f t="shared" si="7"/>
        <v>0.12202562538132314</v>
      </c>
      <c r="AR17" s="2">
        <v>44551</v>
      </c>
      <c r="AS17">
        <f>SUMIFS(CPI_Data[Health],CPI_Data[Year],YEAR(A17),CPI_Data[Month],TEXT(A17,"mmmm"),CPI_Data[Sector],"Rural+Urban")</f>
        <v>170.6</v>
      </c>
      <c r="AT17" s="21">
        <f t="shared" si="8"/>
        <v>0.41200706297821577</v>
      </c>
      <c r="AV17" s="2">
        <v>44551</v>
      </c>
      <c r="AW17">
        <f>SUMIFS(CPI_Data[Transport and communication],CPI_Data[Year],YEAR(A17),CPI_Data[Month],TEXT(A17,"mmmm"),CPI_Data[Sector],"Rural+Urban")</f>
        <v>155.69999999999999</v>
      </c>
      <c r="AX17" s="21">
        <f t="shared" si="9"/>
        <v>0.58139534883719457</v>
      </c>
      <c r="AZ17" s="2">
        <v>44551</v>
      </c>
      <c r="BA17">
        <f>SUMIFS(CPI_Data[Education],CPI_Data[Year],YEAR(A17),CPI_Data[Month],TEXT(A17,"mmmm"),CPI_Data[Sector],"Rural+Urban")</f>
        <v>164.4</v>
      </c>
      <c r="BB17" s="21">
        <f t="shared" si="10"/>
        <v>6.0864272671938099E-2</v>
      </c>
    </row>
    <row r="18" spans="1:54" x14ac:dyDescent="0.25">
      <c r="A18" s="22">
        <v>44582</v>
      </c>
      <c r="B18" s="24" cm="1">
        <f t="array" ref="B18">_xlfn.XLOOKUP(1,(CPI_Data[Year]=YEAR(A18))*(CPI_Data[Month]=TEXT(A18,"mmmm"))*(CPI_Data[Sector]="Rural+Urban"),CPI_Data[Oils and fats])</f>
        <v>184.7</v>
      </c>
      <c r="C18" s="25">
        <f t="shared" si="0"/>
        <v>-1.5458422174840116</v>
      </c>
      <c r="E18" s="2"/>
      <c r="P18" s="2">
        <v>44582</v>
      </c>
      <c r="Q18">
        <f>SUMIFS(CPI_Data[Food and beverages],CPI_Data[Year],YEAR(P18),CPI_Data[Month],TEXT(P18,"mmmm"),CPI_Data[Sector],"Rural+Urban")</f>
        <v>166.4</v>
      </c>
      <c r="R18" s="21">
        <f t="shared" si="1"/>
        <v>-1.070154577883462</v>
      </c>
      <c r="T18" s="2">
        <v>44582</v>
      </c>
      <c r="U18">
        <f>SUMIFS(CPI_Data[Cereals and products],CPI_Data[Year],YEAR(A18),CPI_Data[Month],TEXT(A18,"mmmm"),CPI_Data[Sector],"Rural+Urban")</f>
        <v>149.5</v>
      </c>
      <c r="V18" s="21">
        <f t="shared" si="2"/>
        <v>0.53799596503027003</v>
      </c>
      <c r="X18" s="2">
        <v>44582</v>
      </c>
      <c r="Y18">
        <f>SUMIFS(CPI_Data[Meat and fish],CPI_Data[Year],YEAR(A18),CPI_Data[Month],TEXT(A18,"mmmm"),CPI_Data[Sector],"Rural+Urban")</f>
        <v>198.7</v>
      </c>
      <c r="Z18" s="21">
        <f t="shared" si="3"/>
        <v>-5.0301810865202579E-2</v>
      </c>
      <c r="AB18" s="2">
        <v>44582</v>
      </c>
      <c r="AC18">
        <f>SUMIFS(CPI_Data[Egg],CPI_Data[Year],YEAR(A18),CPI_Data[Month],TEXT(A18,"mmmm"),CPI_Data[Sector],"Rural+Urban")</f>
        <v>178.8</v>
      </c>
      <c r="AD18" s="21">
        <f t="shared" si="4"/>
        <v>0.50590219224283628</v>
      </c>
      <c r="AF18" s="2">
        <v>44582</v>
      </c>
      <c r="AG18">
        <f>SUMIFS(CPI_Data[Milk and products],CPI_Data[Year],YEAR(A18),CPI_Data[Month],TEXT(A18,"mmmm"),CPI_Data[Sector],"Rural+Urban")</f>
        <v>160.5</v>
      </c>
      <c r="AH18" s="21">
        <f t="shared" si="5"/>
        <v>0.37523452157598142</v>
      </c>
      <c r="AJ18" s="2">
        <v>44582</v>
      </c>
      <c r="AK18">
        <f>SUMIFS(CPI_Data[Vegetables],CPI_Data[Year],YEAR(A18),CPI_Data[Month],TEXT(A18,"mmmm"),CPI_Data[Sector],"Rural+Urban")</f>
        <v>174.3</v>
      </c>
      <c r="AL18" s="21">
        <f t="shared" si="6"/>
        <v>-7.4349442379182147</v>
      </c>
      <c r="AN18" s="2">
        <v>44582</v>
      </c>
      <c r="AO18">
        <f>SUMIFS(CPI_Data[Fuel and light],CPI_Data[Year],YEAR(A18),CPI_Data[Month],TEXT(A18,"mmmm"),CPI_Data[Sector],"Rural+Urban")</f>
        <v>164.2</v>
      </c>
      <c r="AP18" s="21">
        <f t="shared" si="7"/>
        <v>6.0938452163311584E-2</v>
      </c>
      <c r="AR18" s="2">
        <v>44582</v>
      </c>
      <c r="AS18">
        <f>SUMIFS(CPI_Data[Health],CPI_Data[Year],YEAR(A18),CPI_Data[Month],TEXT(A18,"mmmm"),CPI_Data[Sector],"Rural+Urban")</f>
        <v>171.4</v>
      </c>
      <c r="AT18" s="21">
        <f t="shared" si="8"/>
        <v>0.46893317702228099</v>
      </c>
      <c r="AV18" s="2">
        <v>44582</v>
      </c>
      <c r="AW18">
        <f>SUMIFS(CPI_Data[Transport and communication],CPI_Data[Year],YEAR(A18),CPI_Data[Month],TEXT(A18,"mmmm"),CPI_Data[Sector],"Rural+Urban")</f>
        <v>156.5</v>
      </c>
      <c r="AX18" s="21">
        <f t="shared" si="9"/>
        <v>0.51380860629416281</v>
      </c>
      <c r="AZ18" s="2">
        <v>44582</v>
      </c>
      <c r="BA18">
        <f>SUMIFS(CPI_Data[Education],CPI_Data[Year],YEAR(A18),CPI_Data[Month],TEXT(A18,"mmmm"),CPI_Data[Sector],"Rural+Urban")</f>
        <v>164.7</v>
      </c>
      <c r="BB18" s="21">
        <f t="shared" si="10"/>
        <v>0.18248175182480714</v>
      </c>
    </row>
    <row r="19" spans="1:54" x14ac:dyDescent="0.25">
      <c r="A19" s="22">
        <v>44613</v>
      </c>
      <c r="B19" s="24" cm="1">
        <f t="array" ref="B19">_xlfn.XLOOKUP(1,(CPI_Data[Year]=YEAR(A19))*(CPI_Data[Month]=TEXT(A19,"mmmm"))*(CPI_Data[Sector]="Rural+Urban"),CPI_Data[Oils and fats])</f>
        <v>184.9</v>
      </c>
      <c r="C19" s="25">
        <f t="shared" si="0"/>
        <v>0.1082837033026622</v>
      </c>
      <c r="E19" s="4"/>
      <c r="F19" s="48"/>
      <c r="G19" s="48"/>
      <c r="H19" s="48"/>
      <c r="I19" s="48"/>
      <c r="J19" s="48"/>
      <c r="K19" s="48"/>
      <c r="L19" s="48"/>
      <c r="M19" s="48"/>
      <c r="N19" s="48"/>
      <c r="O19" s="4"/>
      <c r="P19" s="2">
        <v>44613</v>
      </c>
      <c r="Q19">
        <f>SUMIFS(CPI_Data[Food and beverages],CPI_Data[Year],YEAR(P19),CPI_Data[Month],TEXT(P19,"mmmm"),CPI_Data[Sector],"Rural+Urban")</f>
        <v>166.2</v>
      </c>
      <c r="R19" s="21">
        <f t="shared" si="1"/>
        <v>-0.12019230769231794</v>
      </c>
      <c r="T19" s="2">
        <v>44613</v>
      </c>
      <c r="U19">
        <f>SUMIFS(CPI_Data[Cereals and products],CPI_Data[Year],YEAR(A19),CPI_Data[Month],TEXT(A19,"mmmm"),CPI_Data[Sector],"Rural+Urban")</f>
        <v>150</v>
      </c>
      <c r="V19" s="21">
        <f t="shared" si="2"/>
        <v>0.33444816053511706</v>
      </c>
      <c r="X19" s="2">
        <v>44613</v>
      </c>
      <c r="Y19">
        <f>SUMIFS(CPI_Data[Meat and fish],CPI_Data[Year],YEAR(A19),CPI_Data[Month],TEXT(A19,"mmmm"),CPI_Data[Sector],"Rural+Urban")</f>
        <v>200.6</v>
      </c>
      <c r="Z19" s="21">
        <f t="shared" si="3"/>
        <v>0.95621540010065709</v>
      </c>
      <c r="AB19" s="2">
        <v>44613</v>
      </c>
      <c r="AC19">
        <f>SUMIFS(CPI_Data[Egg],CPI_Data[Year],YEAR(A19),CPI_Data[Month],TEXT(A19,"mmmm"),CPI_Data[Sector],"Rural+Urban")</f>
        <v>175.8</v>
      </c>
      <c r="AD19" s="21">
        <f t="shared" si="4"/>
        <v>-1.6778523489932886</v>
      </c>
      <c r="AF19" s="2">
        <v>44613</v>
      </c>
      <c r="AG19">
        <f>SUMIFS(CPI_Data[Milk and products],CPI_Data[Year],YEAR(A19),CPI_Data[Month],TEXT(A19,"mmmm"),CPI_Data[Sector],"Rural+Urban")</f>
        <v>160.69999999999999</v>
      </c>
      <c r="AH19" s="21">
        <f t="shared" si="5"/>
        <v>0.12461059190030443</v>
      </c>
      <c r="AJ19" s="2">
        <v>44613</v>
      </c>
      <c r="AK19">
        <f>SUMIFS(CPI_Data[Vegetables],CPI_Data[Year],YEAR(A19),CPI_Data[Month],TEXT(A19,"mmmm"),CPI_Data[Sector],"Rural+Urban")</f>
        <v>169.7</v>
      </c>
      <c r="AL19" s="21">
        <f t="shared" si="6"/>
        <v>-2.6391279403327728</v>
      </c>
      <c r="AN19" s="2">
        <v>44613</v>
      </c>
      <c r="AO19">
        <f>SUMIFS(CPI_Data[Fuel and light],CPI_Data[Year],YEAR(A19),CPI_Data[Month],TEXT(A19,"mmmm"),CPI_Data[Sector],"Rural+Urban")</f>
        <v>165.7</v>
      </c>
      <c r="AP19" s="21">
        <f t="shared" si="7"/>
        <v>0.91352009744214369</v>
      </c>
      <c r="AR19" s="2">
        <v>44613</v>
      </c>
      <c r="AS19">
        <f>SUMIFS(CPI_Data[Health],CPI_Data[Year],YEAR(A19),CPI_Data[Month],TEXT(A19,"mmmm"),CPI_Data[Sector],"Rural+Urban")</f>
        <v>172.2</v>
      </c>
      <c r="AT19" s="21">
        <f t="shared" si="8"/>
        <v>0.46674445740955833</v>
      </c>
      <c r="AV19" s="2">
        <v>44613</v>
      </c>
      <c r="AW19">
        <f>SUMIFS(CPI_Data[Transport and communication],CPI_Data[Year],YEAR(A19),CPI_Data[Month],TEXT(A19,"mmmm"),CPI_Data[Sector],"Rural+Urban")</f>
        <v>156.9</v>
      </c>
      <c r="AX19" s="21">
        <f t="shared" si="9"/>
        <v>0.25559105431310269</v>
      </c>
      <c r="AZ19" s="2">
        <v>44613</v>
      </c>
      <c r="BA19">
        <f>SUMIFS(CPI_Data[Education],CPI_Data[Year],YEAR(A19),CPI_Data[Month],TEXT(A19,"mmmm"),CPI_Data[Sector],"Rural+Urban")</f>
        <v>165.4</v>
      </c>
      <c r="BB19" s="21">
        <f t="shared" si="10"/>
        <v>0.42501517911355013</v>
      </c>
    </row>
    <row r="20" spans="1:54" x14ac:dyDescent="0.25">
      <c r="A20" s="22">
        <v>44641</v>
      </c>
      <c r="B20" s="24" cm="1">
        <f t="array" ref="B20">_xlfn.XLOOKUP(1,(CPI_Data[Year]=YEAR(A20))*(CPI_Data[Month]=TEXT(A20,"mmmm"))*(CPI_Data[Sector]="Rural+Urban"),CPI_Data[Oils and fats])</f>
        <v>194.6</v>
      </c>
      <c r="C20" s="25">
        <f t="shared" si="0"/>
        <v>5.2460789616008592</v>
      </c>
      <c r="E20" s="65"/>
      <c r="F20" s="47"/>
      <c r="G20" s="47"/>
      <c r="H20" s="47"/>
      <c r="I20" s="47"/>
      <c r="J20" s="47"/>
      <c r="K20" s="47"/>
      <c r="L20" s="47"/>
      <c r="M20" s="47"/>
      <c r="N20" s="47"/>
      <c r="O20" s="5"/>
      <c r="P20" s="2">
        <v>44641</v>
      </c>
      <c r="Q20">
        <f>SUMIFS(CPI_Data[Food and beverages],CPI_Data[Year],YEAR(P20),CPI_Data[Month],TEXT(P20,"mmmm"),CPI_Data[Sector],"Rural+Urban")</f>
        <v>168.4</v>
      </c>
      <c r="R20" s="21">
        <f t="shared" si="1"/>
        <v>1.3237063778580127</v>
      </c>
      <c r="T20" s="2">
        <v>44641</v>
      </c>
      <c r="U20">
        <f>SUMIFS(CPI_Data[Cereals and products],CPI_Data[Year],YEAR(A20),CPI_Data[Month],TEXT(A20,"mmmm"),CPI_Data[Sector],"Rural+Urban")</f>
        <v>151.30000000000001</v>
      </c>
      <c r="V20" s="21">
        <f t="shared" si="2"/>
        <v>0.86666666666667425</v>
      </c>
      <c r="X20" s="2">
        <v>44641</v>
      </c>
      <c r="Y20">
        <f>SUMIFS(CPI_Data[Meat and fish],CPI_Data[Year],YEAR(A20),CPI_Data[Month],TEXT(A20,"mmmm"),CPI_Data[Sector],"Rural+Urban")</f>
        <v>210.7</v>
      </c>
      <c r="Z20" s="21">
        <f t="shared" si="3"/>
        <v>5.0348953140578239</v>
      </c>
      <c r="AB20" s="2">
        <v>44641</v>
      </c>
      <c r="AC20">
        <f>SUMIFS(CPI_Data[Egg],CPI_Data[Year],YEAR(A20),CPI_Data[Month],TEXT(A20,"mmmm"),CPI_Data[Sector],"Rural+Urban")</f>
        <v>167.8</v>
      </c>
      <c r="AD20" s="21">
        <f t="shared" si="4"/>
        <v>-4.5506257110352673</v>
      </c>
      <c r="AF20" s="2">
        <v>44641</v>
      </c>
      <c r="AG20">
        <f>SUMIFS(CPI_Data[Milk and products],CPI_Data[Year],YEAR(A20),CPI_Data[Month],TEXT(A20,"mmmm"),CPI_Data[Sector],"Rural+Urban")</f>
        <v>162.19999999999999</v>
      </c>
      <c r="AH20" s="21">
        <f t="shared" si="5"/>
        <v>0.93341630367143757</v>
      </c>
      <c r="AJ20" s="2">
        <v>44641</v>
      </c>
      <c r="AK20">
        <f>SUMIFS(CPI_Data[Vegetables],CPI_Data[Year],YEAR(A20),CPI_Data[Month],TEXT(A20,"mmmm"),CPI_Data[Sector],"Rural+Urban")</f>
        <v>166.9</v>
      </c>
      <c r="AL20" s="21">
        <f t="shared" si="6"/>
        <v>-1.6499705362404145</v>
      </c>
      <c r="AN20" s="2">
        <v>44641</v>
      </c>
      <c r="AO20">
        <f>SUMIFS(CPI_Data[Fuel and light],CPI_Data[Year],YEAR(A20),CPI_Data[Month],TEXT(A20,"mmmm"),CPI_Data[Sector],"Rural+Urban")</f>
        <v>167.2</v>
      </c>
      <c r="AP20" s="21">
        <f t="shared" si="7"/>
        <v>0.9052504526252263</v>
      </c>
      <c r="AR20" s="2">
        <v>44641</v>
      </c>
      <c r="AS20">
        <f>SUMIFS(CPI_Data[Health],CPI_Data[Year],YEAR(A20),CPI_Data[Month],TEXT(A20,"mmmm"),CPI_Data[Sector],"Rural+Urban")</f>
        <v>173</v>
      </c>
      <c r="AT20" s="21">
        <f t="shared" si="8"/>
        <v>0.46457607433217851</v>
      </c>
      <c r="AV20" s="2">
        <v>44641</v>
      </c>
      <c r="AW20">
        <f>SUMIFS(CPI_Data[Transport and communication],CPI_Data[Year],YEAR(A20),CPI_Data[Month],TEXT(A20,"mmmm"),CPI_Data[Sector],"Rural+Urban")</f>
        <v>157.9</v>
      </c>
      <c r="AX20" s="21">
        <f t="shared" si="9"/>
        <v>0.63734862970044615</v>
      </c>
      <c r="AZ20" s="2">
        <v>44641</v>
      </c>
      <c r="BA20">
        <f>SUMIFS(CPI_Data[Education],CPI_Data[Year],YEAR(A20),CPI_Data[Month],TEXT(A20,"mmmm"),CPI_Data[Sector],"Rural+Urban")</f>
        <v>166</v>
      </c>
      <c r="BB20" s="21">
        <f t="shared" si="10"/>
        <v>0.36275695284159265</v>
      </c>
    </row>
    <row r="21" spans="1:54" x14ac:dyDescent="0.25">
      <c r="A21" s="22">
        <v>44672</v>
      </c>
      <c r="B21" s="24" cm="1">
        <f t="array" ref="B21">_xlfn.XLOOKUP(1,(CPI_Data[Year]=YEAR(A21))*(CPI_Data[Month]=TEXT(A21,"mmmm"))*(CPI_Data[Sector]="Rural+Urban"),CPI_Data[Oils and fats])</f>
        <v>199.5</v>
      </c>
      <c r="C21" s="25">
        <f t="shared" si="0"/>
        <v>2.5179856115107944</v>
      </c>
      <c r="E21" s="65"/>
      <c r="F21" s="47"/>
      <c r="G21" s="47"/>
      <c r="H21" s="47"/>
      <c r="I21" s="47"/>
      <c r="J21" s="47"/>
      <c r="K21" s="47"/>
      <c r="L21" s="47"/>
      <c r="M21" s="47"/>
      <c r="N21" s="47"/>
      <c r="O21" s="5"/>
      <c r="P21" s="2">
        <v>44672</v>
      </c>
      <c r="Q21">
        <f>SUMIFS(CPI_Data[Food and beverages],CPI_Data[Year],YEAR(P21),CPI_Data[Month],TEXT(P21,"mmmm"),CPI_Data[Sector],"Rural+Urban")</f>
        <v>170.8</v>
      </c>
      <c r="R21" s="21">
        <f t="shared" si="1"/>
        <v>1.425178147268412</v>
      </c>
      <c r="T21" s="2">
        <v>44672</v>
      </c>
      <c r="U21">
        <f>SUMIFS(CPI_Data[Cereals and products],CPI_Data[Year],YEAR(A21),CPI_Data[Month],TEXT(A21,"mmmm"),CPI_Data[Sector],"Rural+Urban")</f>
        <v>152.9</v>
      </c>
      <c r="V21" s="21">
        <f t="shared" si="2"/>
        <v>1.0575016523463279</v>
      </c>
      <c r="X21" s="2">
        <v>44672</v>
      </c>
      <c r="Y21">
        <f>SUMIFS(CPI_Data[Meat and fish],CPI_Data[Year],YEAR(A21),CPI_Data[Month],TEXT(A21,"mmmm"),CPI_Data[Sector],"Rural+Urban")</f>
        <v>211.8</v>
      </c>
      <c r="Z21" s="21">
        <f t="shared" si="3"/>
        <v>0.52206929283342318</v>
      </c>
      <c r="AB21" s="2">
        <v>44672</v>
      </c>
      <c r="AC21">
        <f>SUMIFS(CPI_Data[Egg],CPI_Data[Year],YEAR(A21),CPI_Data[Month],TEXT(A21,"mmmm"),CPI_Data[Sector],"Rural+Urban")</f>
        <v>164.5</v>
      </c>
      <c r="AD21" s="21">
        <f t="shared" si="4"/>
        <v>-1.9666269368295657</v>
      </c>
      <c r="AF21" s="2">
        <v>44672</v>
      </c>
      <c r="AG21">
        <f>SUMIFS(CPI_Data[Milk and products],CPI_Data[Year],YEAR(A21),CPI_Data[Month],TEXT(A21,"mmmm"),CPI_Data[Sector],"Rural+Urban")</f>
        <v>163.9</v>
      </c>
      <c r="AH21" s="21">
        <f t="shared" si="5"/>
        <v>1.0480887792848441</v>
      </c>
      <c r="AJ21" s="2">
        <v>44672</v>
      </c>
      <c r="AK21">
        <f>SUMIFS(CPI_Data[Vegetables],CPI_Data[Year],YEAR(A21),CPI_Data[Month],TEXT(A21,"mmmm"),CPI_Data[Sector],"Rural+Urban")</f>
        <v>166.2</v>
      </c>
      <c r="AL21" s="21">
        <f t="shared" si="6"/>
        <v>-0.41941282204914143</v>
      </c>
      <c r="AN21" s="2">
        <v>44672</v>
      </c>
      <c r="AO21">
        <f>SUMIFS(CPI_Data[Fuel and light],CPI_Data[Year],YEAR(A21),CPI_Data[Month],TEXT(A21,"mmmm"),CPI_Data[Sector],"Rural+Urban")</f>
        <v>172.2</v>
      </c>
      <c r="AP21" s="21">
        <f t="shared" si="7"/>
        <v>2.9904306220095696</v>
      </c>
      <c r="AR21" s="2">
        <v>44672</v>
      </c>
      <c r="AS21">
        <f>SUMIFS(CPI_Data[Health],CPI_Data[Year],YEAR(A21),CPI_Data[Month],TEXT(A21,"mmmm"),CPI_Data[Sector],"Rural+Urban")</f>
        <v>174</v>
      </c>
      <c r="AT21" s="21">
        <f t="shared" si="8"/>
        <v>0.57803468208092479</v>
      </c>
      <c r="AV21" s="2">
        <v>44672</v>
      </c>
      <c r="AW21">
        <f>SUMIFS(CPI_Data[Transport and communication],CPI_Data[Year],YEAR(A21),CPI_Data[Month],TEXT(A21,"mmmm"),CPI_Data[Sector],"Rural+Urban")</f>
        <v>162.6</v>
      </c>
      <c r="AX21" s="21">
        <f t="shared" si="9"/>
        <v>2.9765674477517345</v>
      </c>
      <c r="AZ21" s="2">
        <v>44672</v>
      </c>
      <c r="BA21">
        <f>SUMIFS(CPI_Data[Education],CPI_Data[Year],YEAR(A21),CPI_Data[Month],TEXT(A21,"mmmm"),CPI_Data[Sector],"Rural+Urban")</f>
        <v>166.9</v>
      </c>
      <c r="BB21" s="21">
        <f t="shared" si="10"/>
        <v>0.54216867469879859</v>
      </c>
    </row>
    <row r="22" spans="1:54" x14ac:dyDescent="0.25">
      <c r="A22" s="22">
        <v>44702</v>
      </c>
      <c r="B22" s="24" cm="1">
        <f t="array" ref="B22">_xlfn.XLOOKUP(1,(CPI_Data[Year]=YEAR(A22))*(CPI_Data[Month]=TEXT(A22,"mmmm"))*(CPI_Data[Sector]="Rural+Urban"),CPI_Data[Oils and fats])</f>
        <v>202.4</v>
      </c>
      <c r="C22" s="25">
        <f t="shared" si="0"/>
        <v>1.4536340852130354</v>
      </c>
      <c r="E22" s="65"/>
      <c r="F22" s="47"/>
      <c r="G22" s="47"/>
      <c r="H22" s="47"/>
      <c r="I22" s="47"/>
      <c r="J22" s="47"/>
      <c r="K22" s="47"/>
      <c r="L22" s="47"/>
      <c r="M22" s="47"/>
      <c r="N22" s="47"/>
      <c r="O22" s="5"/>
      <c r="P22" s="2">
        <v>44702</v>
      </c>
      <c r="Q22">
        <f>SUMIFS(CPI_Data[Food and beverages],CPI_Data[Year],YEAR(P22),CPI_Data[Month],TEXT(P22,"mmmm"),CPI_Data[Sector],"Rural+Urban")</f>
        <v>173.3</v>
      </c>
      <c r="R22" s="21">
        <f t="shared" si="1"/>
        <v>1.4637002341920373</v>
      </c>
      <c r="T22" s="2">
        <v>44702</v>
      </c>
      <c r="U22">
        <f>SUMIFS(CPI_Data[Cereals and products],CPI_Data[Year],YEAR(A22),CPI_Data[Month],TEXT(A22,"mmmm"),CPI_Data[Sector],"Rural+Urban")</f>
        <v>154.1</v>
      </c>
      <c r="V22" s="21">
        <f t="shared" si="2"/>
        <v>0.7848266841072522</v>
      </c>
      <c r="X22" s="2">
        <v>44702</v>
      </c>
      <c r="Y22">
        <f>SUMIFS(CPI_Data[Meat and fish],CPI_Data[Year],YEAR(A22),CPI_Data[Month],TEXT(A22,"mmmm"),CPI_Data[Sector],"Rural+Urban")</f>
        <v>217</v>
      </c>
      <c r="Z22" s="21">
        <f t="shared" si="3"/>
        <v>2.4551463644948011</v>
      </c>
      <c r="AB22" s="2">
        <v>44702</v>
      </c>
      <c r="AC22">
        <f>SUMIFS(CPI_Data[Egg],CPI_Data[Year],YEAR(A22),CPI_Data[Month],TEXT(A22,"mmmm"),CPI_Data[Sector],"Rural+Urban")</f>
        <v>162.4</v>
      </c>
      <c r="AD22" s="21">
        <f t="shared" si="4"/>
        <v>-1.2765957446808476</v>
      </c>
      <c r="AF22" s="2">
        <v>44702</v>
      </c>
      <c r="AG22">
        <f>SUMIFS(CPI_Data[Milk and products],CPI_Data[Year],YEAR(A22),CPI_Data[Month],TEXT(A22,"mmmm"),CPI_Data[Sector],"Rural+Urban")</f>
        <v>164.9</v>
      </c>
      <c r="AH22" s="21">
        <f t="shared" si="5"/>
        <v>0.6101281269066503</v>
      </c>
      <c r="AJ22" s="2">
        <v>44702</v>
      </c>
      <c r="AK22">
        <f>SUMIFS(CPI_Data[Vegetables],CPI_Data[Year],YEAR(A22),CPI_Data[Month],TEXT(A22,"mmmm"),CPI_Data[Sector],"Rural+Urban")</f>
        <v>174.9</v>
      </c>
      <c r="AL22" s="21">
        <f t="shared" si="6"/>
        <v>5.2346570397112018</v>
      </c>
      <c r="AN22" s="2">
        <v>44702</v>
      </c>
      <c r="AO22">
        <f>SUMIFS(CPI_Data[Fuel and light],CPI_Data[Year],YEAR(A22),CPI_Data[Month],TEXT(A22,"mmmm"),CPI_Data[Sector],"Rural+Urban")</f>
        <v>174.6</v>
      </c>
      <c r="AP22" s="21">
        <f t="shared" si="7"/>
        <v>1.3937282229965191</v>
      </c>
      <c r="AR22" s="2">
        <v>44702</v>
      </c>
      <c r="AS22">
        <f>SUMIFS(CPI_Data[Health],CPI_Data[Year],YEAR(A22),CPI_Data[Month],TEXT(A22,"mmmm"),CPI_Data[Sector],"Rural+Urban")</f>
        <v>174.8</v>
      </c>
      <c r="AT22" s="21">
        <f t="shared" si="8"/>
        <v>0.45977011494253522</v>
      </c>
      <c r="AV22" s="2">
        <v>44702</v>
      </c>
      <c r="AW22">
        <f>SUMIFS(CPI_Data[Transport and communication],CPI_Data[Year],YEAR(A22),CPI_Data[Month],TEXT(A22,"mmmm"),CPI_Data[Sector],"Rural+Urban")</f>
        <v>163</v>
      </c>
      <c r="AX22" s="21">
        <f t="shared" si="9"/>
        <v>0.24600246002460377</v>
      </c>
      <c r="AZ22" s="2">
        <v>44702</v>
      </c>
      <c r="BA22">
        <f>SUMIFS(CPI_Data[Education],CPI_Data[Year],YEAR(A22),CPI_Data[Month],TEXT(A22,"mmmm"),CPI_Data[Sector],"Rural+Urban")</f>
        <v>167.9</v>
      </c>
      <c r="BB22" s="21">
        <f t="shared" si="10"/>
        <v>0.59916117435590177</v>
      </c>
    </row>
    <row r="23" spans="1:54" x14ac:dyDescent="0.25">
      <c r="A23" s="22">
        <v>44733</v>
      </c>
      <c r="B23" s="24" cm="1">
        <f t="array" ref="B23">_xlfn.XLOOKUP(1,(CPI_Data[Year]=YEAR(A23))*(CPI_Data[Month]=TEXT(A23,"mmmm"))*(CPI_Data[Sector]="Rural+Urban"),CPI_Data[Oils and fats])</f>
        <v>200.9</v>
      </c>
      <c r="C23" s="25">
        <f t="shared" si="0"/>
        <v>-0.74110671936758887</v>
      </c>
      <c r="E23" s="65"/>
      <c r="F23" s="47"/>
      <c r="G23" s="47"/>
      <c r="H23" s="47"/>
      <c r="I23" s="47"/>
      <c r="J23" s="47"/>
      <c r="K23" s="47"/>
      <c r="L23" s="47"/>
      <c r="M23" s="47"/>
      <c r="N23" s="47"/>
      <c r="O23" s="5"/>
      <c r="P23" s="2">
        <v>44733</v>
      </c>
      <c r="Q23">
        <f>SUMIFS(CPI_Data[Food and beverages],CPI_Data[Year],YEAR(P23),CPI_Data[Month],TEXT(P23,"mmmm"),CPI_Data[Sector],"Rural+Urban")</f>
        <v>174.9</v>
      </c>
      <c r="R23" s="21">
        <f t="shared" si="1"/>
        <v>0.92325447201384547</v>
      </c>
      <c r="T23" s="2">
        <v>44733</v>
      </c>
      <c r="U23">
        <f>SUMIFS(CPI_Data[Cereals and products],CPI_Data[Year],YEAR(A23),CPI_Data[Month],TEXT(A23,"mmmm"),CPI_Data[Sector],"Rural+Urban")</f>
        <v>155</v>
      </c>
      <c r="V23" s="21">
        <f t="shared" si="2"/>
        <v>0.58403634003893945</v>
      </c>
      <c r="X23" s="2">
        <v>44733</v>
      </c>
      <c r="Y23">
        <f>SUMIFS(CPI_Data[Meat and fish],CPI_Data[Year],YEAR(A23),CPI_Data[Month],TEXT(A23,"mmmm"),CPI_Data[Sector],"Rural+Urban")</f>
        <v>219.4</v>
      </c>
      <c r="Z23" s="21">
        <f t="shared" si="3"/>
        <v>1.1059907834101408</v>
      </c>
      <c r="AB23" s="2">
        <v>44733</v>
      </c>
      <c r="AC23">
        <f>SUMIFS(CPI_Data[Egg],CPI_Data[Year],YEAR(A23),CPI_Data[Month],TEXT(A23,"mmmm"),CPI_Data[Sector],"Rural+Urban")</f>
        <v>170.8</v>
      </c>
      <c r="AD23" s="21">
        <f t="shared" si="4"/>
        <v>5.172413793103452</v>
      </c>
      <c r="AF23" s="2">
        <v>44733</v>
      </c>
      <c r="AG23">
        <f>SUMIFS(CPI_Data[Milk and products],CPI_Data[Year],YEAR(A23),CPI_Data[Month],TEXT(A23,"mmmm"),CPI_Data[Sector],"Rural+Urban")</f>
        <v>165.8</v>
      </c>
      <c r="AH23" s="21">
        <f t="shared" si="5"/>
        <v>0.54578532443905736</v>
      </c>
      <c r="AJ23" s="2">
        <v>44733</v>
      </c>
      <c r="AK23">
        <f>SUMIFS(CPI_Data[Vegetables],CPI_Data[Year],YEAR(A23),CPI_Data[Month],TEXT(A23,"mmmm"),CPI_Data[Sector],"Rural+Urban")</f>
        <v>182.3</v>
      </c>
      <c r="AL23" s="21">
        <f t="shared" si="6"/>
        <v>4.2309891366495167</v>
      </c>
      <c r="AN23" s="2">
        <v>44733</v>
      </c>
      <c r="AO23">
        <f>SUMIFS(CPI_Data[Fuel and light],CPI_Data[Year],YEAR(A23),CPI_Data[Month],TEXT(A23,"mmmm"),CPI_Data[Sector],"Rural+Urban")</f>
        <v>176</v>
      </c>
      <c r="AP23" s="21">
        <f t="shared" si="7"/>
        <v>0.80183276059565045</v>
      </c>
      <c r="AR23" s="2">
        <v>44733</v>
      </c>
      <c r="AS23">
        <f>SUMIFS(CPI_Data[Health],CPI_Data[Year],YEAR(A23),CPI_Data[Month],TEXT(A23,"mmmm"),CPI_Data[Sector],"Rural+Urban")</f>
        <v>175.4</v>
      </c>
      <c r="AT23" s="21">
        <f t="shared" si="8"/>
        <v>0.34324942791761687</v>
      </c>
      <c r="AV23" s="2">
        <v>44733</v>
      </c>
      <c r="AW23">
        <f>SUMIFS(CPI_Data[Transport and communication],CPI_Data[Year],YEAR(A23),CPI_Data[Month],TEXT(A23,"mmmm"),CPI_Data[Sector],"Rural+Urban")</f>
        <v>161.1</v>
      </c>
      <c r="AX23" s="21">
        <f t="shared" si="9"/>
        <v>-1.1656441717791446</v>
      </c>
      <c r="AZ23" s="2">
        <v>44733</v>
      </c>
      <c r="BA23">
        <f>SUMIFS(CPI_Data[Education],CPI_Data[Year],YEAR(A23),CPI_Data[Month],TEXT(A23,"mmmm"),CPI_Data[Sector],"Rural+Urban")</f>
        <v>169</v>
      </c>
      <c r="BB23" s="21">
        <f t="shared" si="10"/>
        <v>0.65515187611673276</v>
      </c>
    </row>
    <row r="24" spans="1:54" x14ac:dyDescent="0.25">
      <c r="A24" s="22">
        <v>44763</v>
      </c>
      <c r="B24" s="24" cm="1">
        <f t="array" ref="B24">_xlfn.XLOOKUP(1,(CPI_Data[Year]=YEAR(A24))*(CPI_Data[Month]=TEXT(A24,"mmmm"))*(CPI_Data[Sector]="Rural+Urban"),CPI_Data[Oils and fats])</f>
        <v>195.8</v>
      </c>
      <c r="C24" s="25">
        <f t="shared" si="0"/>
        <v>-2.538576406172222</v>
      </c>
      <c r="E24" s="65"/>
      <c r="F24" s="47"/>
      <c r="P24" s="2">
        <v>44763</v>
      </c>
      <c r="Q24">
        <f>SUMIFS(CPI_Data[Food and beverages],CPI_Data[Year],YEAR(P24),CPI_Data[Month],TEXT(P24,"mmmm"),CPI_Data[Sector],"Rural+Urban")</f>
        <v>175</v>
      </c>
      <c r="R24" s="21">
        <f t="shared" si="1"/>
        <v>5.7175528873638831E-2</v>
      </c>
      <c r="T24" s="2">
        <v>44763</v>
      </c>
      <c r="U24">
        <f>SUMIFS(CPI_Data[Cereals and products],CPI_Data[Year],YEAR(A24),CPI_Data[Month],TEXT(A24,"mmmm"),CPI_Data[Sector],"Rural+Urban")</f>
        <v>156.5</v>
      </c>
      <c r="V24" s="21">
        <f t="shared" si="2"/>
        <v>0.967741935483871</v>
      </c>
      <c r="X24" s="2">
        <v>44763</v>
      </c>
      <c r="Y24">
        <f>SUMIFS(CPI_Data[Meat and fish],CPI_Data[Year],YEAR(A24),CPI_Data[Month],TEXT(A24,"mmmm"),CPI_Data[Sector],"Rural+Urban")</f>
        <v>213</v>
      </c>
      <c r="Z24" s="21">
        <f t="shared" si="3"/>
        <v>-2.9170464904284437</v>
      </c>
      <c r="AB24" s="2">
        <v>44763</v>
      </c>
      <c r="AC24">
        <f>SUMIFS(CPI_Data[Egg],CPI_Data[Year],YEAR(A24),CPI_Data[Month],TEXT(A24,"mmmm"),CPI_Data[Sector],"Rural+Urban")</f>
        <v>175.2</v>
      </c>
      <c r="AD24" s="21">
        <f t="shared" si="4"/>
        <v>2.5761124121779724</v>
      </c>
      <c r="AF24" s="2">
        <v>44763</v>
      </c>
      <c r="AG24">
        <f>SUMIFS(CPI_Data[Milk and products],CPI_Data[Year],YEAR(A24),CPI_Data[Month],TEXT(A24,"mmmm"),CPI_Data[Sector],"Rural+Urban")</f>
        <v>166.6</v>
      </c>
      <c r="AH24" s="21">
        <f t="shared" si="5"/>
        <v>0.48250904704462172</v>
      </c>
      <c r="AJ24" s="2">
        <v>44763</v>
      </c>
      <c r="AK24">
        <f>SUMIFS(CPI_Data[Vegetables],CPI_Data[Year],YEAR(A24),CPI_Data[Month],TEXT(A24,"mmmm"),CPI_Data[Sector],"Rural+Urban")</f>
        <v>182.1</v>
      </c>
      <c r="AL24" s="21">
        <f t="shared" si="6"/>
        <v>-0.10970927043336097</v>
      </c>
      <c r="AN24" s="2">
        <v>44763</v>
      </c>
      <c r="AO24">
        <f>SUMIFS(CPI_Data[Fuel and light],CPI_Data[Year],YEAR(A24),CPI_Data[Month],TEXT(A24,"mmmm"),CPI_Data[Sector],"Rural+Urban")</f>
        <v>179.6</v>
      </c>
      <c r="AP24" s="21">
        <f t="shared" si="7"/>
        <v>2.0454545454545423</v>
      </c>
      <c r="AR24" s="2">
        <v>44763</v>
      </c>
      <c r="AS24">
        <f>SUMIFS(CPI_Data[Health],CPI_Data[Year],YEAR(A24),CPI_Data[Month],TEXT(A24,"mmmm"),CPI_Data[Sector],"Rural+Urban")</f>
        <v>176.1</v>
      </c>
      <c r="AT24" s="21">
        <f t="shared" si="8"/>
        <v>0.39908779931584298</v>
      </c>
      <c r="AV24" s="2">
        <v>44763</v>
      </c>
      <c r="AW24">
        <f>SUMIFS(CPI_Data[Transport and communication],CPI_Data[Year],YEAR(A24),CPI_Data[Month],TEXT(A24,"mmmm"),CPI_Data[Sector],"Rural+Urban")</f>
        <v>161.6</v>
      </c>
      <c r="AX24" s="21">
        <f t="shared" si="9"/>
        <v>0.31036623215394166</v>
      </c>
      <c r="AZ24" s="2">
        <v>44763</v>
      </c>
      <c r="BA24">
        <f>SUMIFS(CPI_Data[Education],CPI_Data[Year],YEAR(A24),CPI_Data[Month],TEXT(A24,"mmmm"),CPI_Data[Sector],"Rural+Urban")</f>
        <v>171.4</v>
      </c>
      <c r="BB24" s="21">
        <f t="shared" si="10"/>
        <v>1.4201183431952698</v>
      </c>
    </row>
    <row r="25" spans="1:54" x14ac:dyDescent="0.25">
      <c r="A25" s="22">
        <v>44794</v>
      </c>
      <c r="B25" s="24" cm="1">
        <f t="array" ref="B25">_xlfn.XLOOKUP(1,(CPI_Data[Year]=YEAR(A25))*(CPI_Data[Month]=TEXT(A25,"mmmm"))*(CPI_Data[Sector]="Rural+Urban"),CPI_Data[Oils and fats])</f>
        <v>192.4</v>
      </c>
      <c r="C25" s="25">
        <f t="shared" si="0"/>
        <v>-1.7364657814096043</v>
      </c>
      <c r="E25" s="65"/>
      <c r="F25" s="47"/>
      <c r="P25" s="2">
        <v>44794</v>
      </c>
      <c r="Q25">
        <f>SUMIFS(CPI_Data[Food and beverages],CPI_Data[Year],YEAR(P25),CPI_Data[Month],TEXT(P25,"mmmm"),CPI_Data[Sector],"Rural+Urban")</f>
        <v>176.3</v>
      </c>
      <c r="R25" s="21">
        <f t="shared" si="1"/>
        <v>0.74285714285714932</v>
      </c>
      <c r="T25" s="2">
        <v>44794</v>
      </c>
      <c r="U25">
        <f>SUMIFS(CPI_Data[Cereals and products],CPI_Data[Year],YEAR(A25),CPI_Data[Month],TEXT(A25,"mmmm"),CPI_Data[Sector],"Rural+Urban")</f>
        <v>160.30000000000001</v>
      </c>
      <c r="V25" s="21">
        <f t="shared" si="2"/>
        <v>2.4281150159744485</v>
      </c>
      <c r="X25" s="2">
        <v>44794</v>
      </c>
      <c r="Y25">
        <f>SUMIFS(CPI_Data[Meat and fish],CPI_Data[Year],YEAR(A25),CPI_Data[Month],TEXT(A25,"mmmm"),CPI_Data[Sector],"Rural+Urban")</f>
        <v>206.5</v>
      </c>
      <c r="Z25" s="21">
        <f t="shared" si="3"/>
        <v>-3.051643192488263</v>
      </c>
      <c r="AB25" s="2">
        <v>44794</v>
      </c>
      <c r="AC25">
        <f>SUMIFS(CPI_Data[Egg],CPI_Data[Year],YEAR(A25),CPI_Data[Month],TEXT(A25,"mmmm"),CPI_Data[Sector],"Rural+Urban")</f>
        <v>169.2</v>
      </c>
      <c r="AD25" s="21">
        <f t="shared" si="4"/>
        <v>-3.4246575342465757</v>
      </c>
      <c r="AF25" s="2">
        <v>44794</v>
      </c>
      <c r="AG25">
        <f>SUMIFS(CPI_Data[Milk and products],CPI_Data[Year],YEAR(A25),CPI_Data[Month],TEXT(A25,"mmmm"),CPI_Data[Sector],"Rural+Urban")</f>
        <v>168.1</v>
      </c>
      <c r="AH25" s="21">
        <f t="shared" si="5"/>
        <v>0.90036014405762299</v>
      </c>
      <c r="AJ25" s="2">
        <v>44794</v>
      </c>
      <c r="AK25">
        <f>SUMIFS(CPI_Data[Vegetables],CPI_Data[Year],YEAR(A25),CPI_Data[Month],TEXT(A25,"mmmm"),CPI_Data[Sector],"Rural+Urban")</f>
        <v>186.7</v>
      </c>
      <c r="AL25" s="21">
        <f t="shared" si="6"/>
        <v>2.5260845689181735</v>
      </c>
      <c r="AN25" s="2">
        <v>44794</v>
      </c>
      <c r="AO25">
        <f>SUMIFS(CPI_Data[Fuel and light],CPI_Data[Year],YEAR(A25),CPI_Data[Month],TEXT(A25,"mmmm"),CPI_Data[Sector],"Rural+Urban")</f>
        <v>178.8</v>
      </c>
      <c r="AP25" s="21">
        <f t="shared" si="7"/>
        <v>-0.44543429844097049</v>
      </c>
      <c r="AR25" s="2">
        <v>44794</v>
      </c>
      <c r="AS25">
        <f>SUMIFS(CPI_Data[Health],CPI_Data[Year],YEAR(A25),CPI_Data[Month],TEXT(A25,"mmmm"),CPI_Data[Sector],"Rural+Urban")</f>
        <v>176.8</v>
      </c>
      <c r="AT25" s="21">
        <f t="shared" si="8"/>
        <v>0.397501419647937</v>
      </c>
      <c r="AV25" s="2">
        <v>44794</v>
      </c>
      <c r="AW25">
        <f>SUMIFS(CPI_Data[Transport and communication],CPI_Data[Year],YEAR(A25),CPI_Data[Month],TEXT(A25,"mmmm"),CPI_Data[Sector],"Rural+Urban")</f>
        <v>161.9</v>
      </c>
      <c r="AX25" s="21">
        <f t="shared" si="9"/>
        <v>0.18564356435644269</v>
      </c>
      <c r="AZ25" s="2">
        <v>44794</v>
      </c>
      <c r="BA25">
        <f>SUMIFS(CPI_Data[Education],CPI_Data[Year],YEAR(A25),CPI_Data[Month],TEXT(A25,"mmmm"),CPI_Data[Sector],"Rural+Urban")</f>
        <v>172.3</v>
      </c>
      <c r="BB25" s="21">
        <f t="shared" si="10"/>
        <v>0.52508751458576763</v>
      </c>
    </row>
    <row r="26" spans="1:54" x14ac:dyDescent="0.25">
      <c r="A26" s="22">
        <v>44825</v>
      </c>
      <c r="B26" s="24" cm="1">
        <f t="array" ref="B26">_xlfn.XLOOKUP(1,(CPI_Data[Year]=YEAR(A26))*(CPI_Data[Month]=TEXT(A26,"mmmm"))*(CPI_Data[Sector]="Rural+Urban"),CPI_Data[Oils and fats])</f>
        <v>188.7</v>
      </c>
      <c r="C26" s="25">
        <f t="shared" si="0"/>
        <v>-1.9230769230769318</v>
      </c>
      <c r="E26" s="65"/>
      <c r="F26" s="47"/>
      <c r="P26" s="2">
        <v>44825</v>
      </c>
      <c r="Q26">
        <f>SUMIFS(CPI_Data[Food and beverages],CPI_Data[Year],YEAR(P26),CPI_Data[Month],TEXT(P26,"mmmm"),CPI_Data[Sector],"Rural+Urban")</f>
        <v>177.8</v>
      </c>
      <c r="R26" s="21">
        <f t="shared" si="1"/>
        <v>0.85082246171298925</v>
      </c>
      <c r="T26" s="2">
        <v>44825</v>
      </c>
      <c r="U26">
        <f>SUMIFS(CPI_Data[Cereals and products],CPI_Data[Year],YEAR(A26),CPI_Data[Month],TEXT(A26,"mmmm"),CPI_Data[Sector],"Rural+Urban")</f>
        <v>163.5</v>
      </c>
      <c r="V26" s="21">
        <f t="shared" si="2"/>
        <v>1.9962570180910719</v>
      </c>
      <c r="X26" s="2">
        <v>44825</v>
      </c>
      <c r="Y26">
        <f>SUMIFS(CPI_Data[Meat and fish],CPI_Data[Year],YEAR(A26),CPI_Data[Month],TEXT(A26,"mmmm"),CPI_Data[Sector],"Rural+Urban")</f>
        <v>209.2</v>
      </c>
      <c r="Z26" s="21">
        <f t="shared" si="3"/>
        <v>1.3075060532687597</v>
      </c>
      <c r="AB26" s="2">
        <v>44825</v>
      </c>
      <c r="AC26">
        <f>SUMIFS(CPI_Data[Egg],CPI_Data[Year],YEAR(A26),CPI_Data[Month],TEXT(A26,"mmmm"),CPI_Data[Sector],"Rural+Urban")</f>
        <v>169.7</v>
      </c>
      <c r="AD26" s="21">
        <f t="shared" si="4"/>
        <v>0.29550827423167852</v>
      </c>
      <c r="AF26" s="2">
        <v>44825</v>
      </c>
      <c r="AG26">
        <f>SUMIFS(CPI_Data[Milk and products],CPI_Data[Year],YEAR(A26),CPI_Data[Month],TEXT(A26,"mmmm"),CPI_Data[Sector],"Rural+Urban")</f>
        <v>169.7</v>
      </c>
      <c r="AH26" s="21">
        <f t="shared" si="5"/>
        <v>0.951814396192739</v>
      </c>
      <c r="AJ26" s="2">
        <v>44825</v>
      </c>
      <c r="AK26">
        <f>SUMIFS(CPI_Data[Vegetables],CPI_Data[Year],YEAR(A26),CPI_Data[Month],TEXT(A26,"mmmm"),CPI_Data[Sector],"Rural+Urban")</f>
        <v>191.8</v>
      </c>
      <c r="AL26" s="21">
        <f t="shared" si="6"/>
        <v>2.7316550615961557</v>
      </c>
      <c r="AN26" s="2">
        <v>44825</v>
      </c>
      <c r="AO26">
        <f>SUMIFS(CPI_Data[Fuel and light],CPI_Data[Year],YEAR(A26),CPI_Data[Month],TEXT(A26,"mmmm"),CPI_Data[Sector],"Rural+Urban")</f>
        <v>179.5</v>
      </c>
      <c r="AP26" s="21">
        <f t="shared" si="7"/>
        <v>0.39149888143176093</v>
      </c>
      <c r="AR26" s="2">
        <v>44825</v>
      </c>
      <c r="AS26">
        <f>SUMIFS(CPI_Data[Health],CPI_Data[Year],YEAR(A26),CPI_Data[Month],TEXT(A26,"mmmm"),CPI_Data[Sector],"Rural+Urban")</f>
        <v>177.8</v>
      </c>
      <c r="AT26" s="21">
        <f t="shared" si="8"/>
        <v>0.56561085972850678</v>
      </c>
      <c r="AV26" s="2">
        <v>44825</v>
      </c>
      <c r="AW26">
        <f>SUMIFS(CPI_Data[Transport and communication],CPI_Data[Year],YEAR(A26),CPI_Data[Month],TEXT(A26,"mmmm"),CPI_Data[Sector],"Rural+Urban")</f>
        <v>162.30000000000001</v>
      </c>
      <c r="AX26" s="21">
        <f t="shared" si="9"/>
        <v>0.2470660901791264</v>
      </c>
      <c r="AZ26" s="2">
        <v>44825</v>
      </c>
      <c r="BA26">
        <f>SUMIFS(CPI_Data[Education],CPI_Data[Year],YEAR(A26),CPI_Data[Month],TEXT(A26,"mmmm"),CPI_Data[Sector],"Rural+Urban")</f>
        <v>173.1</v>
      </c>
      <c r="BB26" s="21">
        <f t="shared" si="10"/>
        <v>0.46430644225187634</v>
      </c>
    </row>
    <row r="27" spans="1:54" x14ac:dyDescent="0.25">
      <c r="A27" s="22">
        <v>44855</v>
      </c>
      <c r="B27" s="24" cm="1">
        <f t="array" ref="B27">_xlfn.XLOOKUP(1,(CPI_Data[Year]=YEAR(A27))*(CPI_Data[Month]=TEXT(A27,"mmmm"))*(CPI_Data[Sector]="Rural+Urban"),CPI_Data[Oils and fats])</f>
        <v>186.5</v>
      </c>
      <c r="C27" s="25">
        <f t="shared" si="0"/>
        <v>-1.1658717541070422</v>
      </c>
      <c r="E27" s="65"/>
      <c r="F27" s="47"/>
      <c r="P27" s="2">
        <v>44855</v>
      </c>
      <c r="Q27">
        <f>SUMIFS(CPI_Data[Food and beverages],CPI_Data[Year],YEAR(P27),CPI_Data[Month],TEXT(P27,"mmmm"),CPI_Data[Sector],"Rural+Urban")</f>
        <v>179.6</v>
      </c>
      <c r="R27" s="21">
        <f t="shared" si="1"/>
        <v>1.0123734533183255</v>
      </c>
      <c r="T27" s="2">
        <v>44855</v>
      </c>
      <c r="U27">
        <f>SUMIFS(CPI_Data[Cereals and products],CPI_Data[Year],YEAR(A27),CPI_Data[Month],TEXT(A27,"mmmm"),CPI_Data[Sector],"Rural+Urban")</f>
        <v>165.2</v>
      </c>
      <c r="V27" s="21">
        <f t="shared" si="2"/>
        <v>1.0397553516819502</v>
      </c>
      <c r="X27" s="2">
        <v>44855</v>
      </c>
      <c r="Y27">
        <f>SUMIFS(CPI_Data[Meat and fish],CPI_Data[Year],YEAR(A27),CPI_Data[Month],TEXT(A27,"mmmm"),CPI_Data[Sector],"Rural+Urban")</f>
        <v>210.9</v>
      </c>
      <c r="Z27" s="21">
        <f t="shared" si="3"/>
        <v>0.81261950286807705</v>
      </c>
      <c r="AB27" s="2">
        <v>44855</v>
      </c>
      <c r="AC27">
        <f>SUMIFS(CPI_Data[Egg],CPI_Data[Year],YEAR(A27),CPI_Data[Month],TEXT(A27,"mmmm"),CPI_Data[Sector],"Rural+Urban")</f>
        <v>170.9</v>
      </c>
      <c r="AD27" s="21">
        <f t="shared" si="4"/>
        <v>0.70713022981733475</v>
      </c>
      <c r="AF27" s="2">
        <v>44855</v>
      </c>
      <c r="AG27">
        <f>SUMIFS(CPI_Data[Milk and products],CPI_Data[Year],YEAR(A27),CPI_Data[Month],TEXT(A27,"mmmm"),CPI_Data[Sector],"Rural+Urban")</f>
        <v>170.9</v>
      </c>
      <c r="AH27" s="21">
        <f t="shared" si="5"/>
        <v>0.70713022981733475</v>
      </c>
      <c r="AJ27" s="2">
        <v>44855</v>
      </c>
      <c r="AK27">
        <f>SUMIFS(CPI_Data[Vegetables],CPI_Data[Year],YEAR(A27),CPI_Data[Month],TEXT(A27,"mmmm"),CPI_Data[Sector],"Rural+Urban")</f>
        <v>199.7</v>
      </c>
      <c r="AL27" s="21">
        <f t="shared" si="6"/>
        <v>4.1188738269030116</v>
      </c>
      <c r="AN27" s="2">
        <v>44855</v>
      </c>
      <c r="AO27">
        <f>SUMIFS(CPI_Data[Fuel and light],CPI_Data[Year],YEAR(A27),CPI_Data[Month],TEXT(A27,"mmmm"),CPI_Data[Sector],"Rural+Urban")</f>
        <v>180.5</v>
      </c>
      <c r="AP27" s="21">
        <f t="shared" si="7"/>
        <v>0.55710306406685239</v>
      </c>
      <c r="AR27" s="2">
        <v>44855</v>
      </c>
      <c r="AS27">
        <f>SUMIFS(CPI_Data[Health],CPI_Data[Year],YEAR(A27),CPI_Data[Month],TEXT(A27,"mmmm"),CPI_Data[Sector],"Rural+Urban")</f>
        <v>178.7</v>
      </c>
      <c r="AT27" s="21">
        <f t="shared" si="8"/>
        <v>0.50618672665915476</v>
      </c>
      <c r="AV27" s="2">
        <v>44855</v>
      </c>
      <c r="AW27">
        <f>SUMIFS(CPI_Data[Transport and communication],CPI_Data[Year],YEAR(A27),CPI_Data[Month],TEXT(A27,"mmmm"),CPI_Data[Sector],"Rural+Urban")</f>
        <v>162.9</v>
      </c>
      <c r="AX27" s="21">
        <f t="shared" si="9"/>
        <v>0.36968576709796319</v>
      </c>
      <c r="AZ27" s="2">
        <v>44855</v>
      </c>
      <c r="BA27">
        <f>SUMIFS(CPI_Data[Education],CPI_Data[Year],YEAR(A27),CPI_Data[Month],TEXT(A27,"mmmm"),CPI_Data[Sector],"Rural+Urban")</f>
        <v>173.4</v>
      </c>
      <c r="BB27" s="21">
        <f t="shared" si="10"/>
        <v>0.17331022530329948</v>
      </c>
    </row>
    <row r="28" spans="1:54" x14ac:dyDescent="0.25">
      <c r="A28" s="22">
        <v>44886</v>
      </c>
      <c r="B28" s="24" cm="1">
        <f t="array" ref="B28">_xlfn.XLOOKUP(1,(CPI_Data[Year]=YEAR(A28))*(CPI_Data[Month]=TEXT(A28,"mmmm"))*(CPI_Data[Sector]="Rural+Urban"),CPI_Data[Oils and fats])</f>
        <v>188.9</v>
      </c>
      <c r="C28" s="25">
        <f t="shared" si="0"/>
        <v>1.286863270777483</v>
      </c>
      <c r="E28" s="65"/>
      <c r="F28" s="47"/>
      <c r="P28" s="2">
        <v>44886</v>
      </c>
      <c r="Q28">
        <f>SUMIFS(CPI_Data[Food and beverages],CPI_Data[Year],YEAR(P28),CPI_Data[Month],TEXT(P28,"mmmm"),CPI_Data[Sector],"Rural+Urban")</f>
        <v>178.3</v>
      </c>
      <c r="R28" s="21">
        <f t="shared" si="1"/>
        <v>-0.7238307349665829</v>
      </c>
      <c r="T28" s="2">
        <v>44886</v>
      </c>
      <c r="U28">
        <f>SUMIFS(CPI_Data[Cereals and products],CPI_Data[Year],YEAR(A28),CPI_Data[Month],TEXT(A28,"mmmm"),CPI_Data[Sector],"Rural+Urban")</f>
        <v>167.4</v>
      </c>
      <c r="V28" s="21">
        <f t="shared" si="2"/>
        <v>1.3317191283293082</v>
      </c>
      <c r="X28" s="2">
        <v>44886</v>
      </c>
      <c r="Y28">
        <f>SUMIFS(CPI_Data[Meat and fish],CPI_Data[Year],YEAR(A28),CPI_Data[Month],TEXT(A28,"mmmm"),CPI_Data[Sector],"Rural+Urban")</f>
        <v>209.4</v>
      </c>
      <c r="Z28" s="21">
        <f t="shared" si="3"/>
        <v>-0.71123755334281646</v>
      </c>
      <c r="AB28" s="2">
        <v>44886</v>
      </c>
      <c r="AC28">
        <f>SUMIFS(CPI_Data[Egg],CPI_Data[Year],YEAR(A28),CPI_Data[Month],TEXT(A28,"mmmm"),CPI_Data[Sector],"Rural+Urban")</f>
        <v>181.4</v>
      </c>
      <c r="AD28" s="21">
        <f t="shared" si="4"/>
        <v>6.1439438267992976</v>
      </c>
      <c r="AF28" s="2">
        <v>44886</v>
      </c>
      <c r="AG28">
        <f>SUMIFS(CPI_Data[Milk and products],CPI_Data[Year],YEAR(A28),CPI_Data[Month],TEXT(A28,"mmmm"),CPI_Data[Sector],"Rural+Urban")</f>
        <v>172.3</v>
      </c>
      <c r="AH28" s="21">
        <f t="shared" si="5"/>
        <v>0.81919251023990969</v>
      </c>
      <c r="AJ28" s="2">
        <v>44886</v>
      </c>
      <c r="AK28">
        <f>SUMIFS(CPI_Data[Vegetables],CPI_Data[Year],YEAR(A28),CPI_Data[Month],TEXT(A28,"mmmm"),CPI_Data[Sector],"Rural+Urban")</f>
        <v>183.1</v>
      </c>
      <c r="AL28" s="21">
        <f t="shared" si="6"/>
        <v>-8.312468703054579</v>
      </c>
      <c r="AN28" s="2">
        <v>44886</v>
      </c>
      <c r="AO28">
        <f>SUMIFS(CPI_Data[Fuel and light],CPI_Data[Year],YEAR(A28),CPI_Data[Month],TEXT(A28,"mmmm"),CPI_Data[Sector],"Rural+Urban")</f>
        <v>181.3</v>
      </c>
      <c r="AP28" s="21">
        <f t="shared" si="7"/>
        <v>0.44321329639889823</v>
      </c>
      <c r="AR28" s="2">
        <v>44886</v>
      </c>
      <c r="AS28">
        <f>SUMIFS(CPI_Data[Health],CPI_Data[Year],YEAR(A28),CPI_Data[Month],TEXT(A28,"mmmm"),CPI_Data[Sector],"Rural+Urban")</f>
        <v>179.8</v>
      </c>
      <c r="AT28" s="21">
        <f t="shared" si="8"/>
        <v>0.61555679910465744</v>
      </c>
      <c r="AV28" s="2">
        <v>44886</v>
      </c>
      <c r="AW28">
        <f>SUMIFS(CPI_Data[Transport and communication],CPI_Data[Year],YEAR(A28),CPI_Data[Month],TEXT(A28,"mmmm"),CPI_Data[Sector],"Rural+Urban")</f>
        <v>163</v>
      </c>
      <c r="AX28" s="21">
        <f t="shared" si="9"/>
        <v>6.1387354205030269E-2</v>
      </c>
      <c r="AZ28" s="2">
        <v>44886</v>
      </c>
      <c r="BA28">
        <f>SUMIFS(CPI_Data[Education],CPI_Data[Year],YEAR(A28),CPI_Data[Month],TEXT(A28,"mmmm"),CPI_Data[Sector],"Rural+Urban")</f>
        <v>173.7</v>
      </c>
      <c r="BB28" s="21">
        <f t="shared" si="10"/>
        <v>0.17301038062282753</v>
      </c>
    </row>
    <row r="29" spans="1:54" x14ac:dyDescent="0.25">
      <c r="A29" s="22">
        <v>44916</v>
      </c>
      <c r="B29" s="24" cm="1">
        <f t="array" ref="B29">_xlfn.XLOOKUP(1,(CPI_Data[Year]=YEAR(A29))*(CPI_Data[Month]=TEXT(A29,"mmmm"))*(CPI_Data[Sector]="Rural+Urban"),CPI_Data[Oils and fats])</f>
        <v>188.5</v>
      </c>
      <c r="C29" s="25">
        <f t="shared" si="0"/>
        <v>-0.21175224986765784</v>
      </c>
      <c r="E29" s="65"/>
      <c r="F29" s="47"/>
      <c r="P29" s="2">
        <v>44916</v>
      </c>
      <c r="Q29">
        <f>SUMIFS(CPI_Data[Food and beverages],CPI_Data[Year],YEAR(P29),CPI_Data[Month],TEXT(P29,"mmmm"),CPI_Data[Sector],"Rural+Urban")</f>
        <v>175.9</v>
      </c>
      <c r="R29" s="21">
        <f t="shared" si="1"/>
        <v>-1.3460459899046582</v>
      </c>
      <c r="T29" s="2">
        <v>44916</v>
      </c>
      <c r="U29">
        <f>SUMIFS(CPI_Data[Cereals and products],CPI_Data[Year],YEAR(A29),CPI_Data[Month],TEXT(A29,"mmmm"),CPI_Data[Sector],"Rural+Urban")</f>
        <v>169.2</v>
      </c>
      <c r="V29" s="21">
        <f t="shared" si="2"/>
        <v>1.075268817204291</v>
      </c>
      <c r="X29" s="2">
        <v>44916</v>
      </c>
      <c r="Y29">
        <f>SUMIFS(CPI_Data[Meat and fish],CPI_Data[Year],YEAR(A29),CPI_Data[Month],TEXT(A29,"mmmm"),CPI_Data[Sector],"Rural+Urban")</f>
        <v>209</v>
      </c>
      <c r="Z29" s="21">
        <f t="shared" si="3"/>
        <v>-0.19102196752626824</v>
      </c>
      <c r="AB29" s="2">
        <v>44916</v>
      </c>
      <c r="AC29">
        <f>SUMIFS(CPI_Data[Egg],CPI_Data[Year],YEAR(A29),CPI_Data[Month],TEXT(A29,"mmmm"),CPI_Data[Sector],"Rural+Urban")</f>
        <v>190.2</v>
      </c>
      <c r="AD29" s="21">
        <f t="shared" si="4"/>
        <v>4.8511576626240256</v>
      </c>
      <c r="AF29" s="2">
        <v>44916</v>
      </c>
      <c r="AG29">
        <f>SUMIFS(CPI_Data[Milk and products],CPI_Data[Year],YEAR(A29),CPI_Data[Month],TEXT(A29,"mmmm"),CPI_Data[Sector],"Rural+Urban")</f>
        <v>173.6</v>
      </c>
      <c r="AH29" s="21">
        <f t="shared" si="5"/>
        <v>0.75449796865930518</v>
      </c>
      <c r="AJ29" s="2">
        <v>44916</v>
      </c>
      <c r="AK29">
        <f>SUMIFS(CPI_Data[Vegetables],CPI_Data[Year],YEAR(A29),CPI_Data[Month],TEXT(A29,"mmmm"),CPI_Data[Sector],"Rural+Urban")</f>
        <v>159.9</v>
      </c>
      <c r="AL29" s="21">
        <f t="shared" si="6"/>
        <v>-12.670671764063348</v>
      </c>
      <c r="AN29" s="2">
        <v>44916</v>
      </c>
      <c r="AO29">
        <f>SUMIFS(CPI_Data[Fuel and light],CPI_Data[Year],YEAR(A29),CPI_Data[Month],TEXT(A29,"mmmm"),CPI_Data[Sector],"Rural+Urban")</f>
        <v>182</v>
      </c>
      <c r="AP29" s="21">
        <f t="shared" si="7"/>
        <v>0.38610038610037983</v>
      </c>
      <c r="AR29" s="2">
        <v>44916</v>
      </c>
      <c r="AS29">
        <f>SUMIFS(CPI_Data[Health],CPI_Data[Year],YEAR(A29),CPI_Data[Month],TEXT(A29,"mmmm"),CPI_Data[Sector],"Rural+Urban")</f>
        <v>181.1</v>
      </c>
      <c r="AT29" s="21">
        <f t="shared" si="8"/>
        <v>0.72302558398219297</v>
      </c>
      <c r="AV29" s="2">
        <v>44916</v>
      </c>
      <c r="AW29">
        <f>SUMIFS(CPI_Data[Transport and communication],CPI_Data[Year],YEAR(A29),CPI_Data[Month],TEXT(A29,"mmmm"),CPI_Data[Sector],"Rural+Urban")</f>
        <v>163.4</v>
      </c>
      <c r="AX29" s="21">
        <f t="shared" si="9"/>
        <v>0.24539877300613847</v>
      </c>
      <c r="AZ29" s="2">
        <v>44916</v>
      </c>
      <c r="BA29">
        <f>SUMIFS(CPI_Data[Education],CPI_Data[Year],YEAR(A29),CPI_Data[Month],TEXT(A29,"mmmm"),CPI_Data[Sector],"Rural+Urban")</f>
        <v>174.1</v>
      </c>
      <c r="BB29" s="21">
        <f t="shared" si="10"/>
        <v>0.23028209556707294</v>
      </c>
    </row>
    <row r="30" spans="1:54" x14ac:dyDescent="0.25">
      <c r="A30" s="22">
        <v>44947</v>
      </c>
      <c r="B30" s="24" cm="1">
        <f t="array" ref="B30">_xlfn.XLOOKUP(1,(CPI_Data[Year]=YEAR(A30))*(CPI_Data[Month]=TEXT(A30,"mmmm"))*(CPI_Data[Sector]="Rural+Urban"),CPI_Data[Oils and fats])</f>
        <v>187.2</v>
      </c>
      <c r="C30" s="25">
        <f t="shared" si="0"/>
        <v>-0.68965517241379914</v>
      </c>
      <c r="E30" s="65"/>
      <c r="F30" s="47"/>
      <c r="P30" s="2">
        <v>44947</v>
      </c>
      <c r="Q30">
        <f>SUMIFS(CPI_Data[Food and beverages],CPI_Data[Year],YEAR(P30),CPI_Data[Month],TEXT(P30,"mmmm"),CPI_Data[Sector],"Rural+Urban")</f>
        <v>176.7</v>
      </c>
      <c r="R30" s="21">
        <f t="shared" si="1"/>
        <v>0.45480386583284982</v>
      </c>
      <c r="T30" s="2">
        <v>44947</v>
      </c>
      <c r="U30">
        <f>SUMIFS(CPI_Data[Cereals and products],CPI_Data[Year],YEAR(A30),CPI_Data[Month],TEXT(A30,"mmmm"),CPI_Data[Sector],"Rural+Urban")</f>
        <v>173.8</v>
      </c>
      <c r="V30" s="21">
        <f t="shared" si="2"/>
        <v>2.7186761229314556</v>
      </c>
      <c r="X30" s="2">
        <v>44947</v>
      </c>
      <c r="Y30">
        <f>SUMIFS(CPI_Data[Meat and fish],CPI_Data[Year],YEAR(A30),CPI_Data[Month],TEXT(A30,"mmmm"),CPI_Data[Sector],"Rural+Urban")</f>
        <v>210.7</v>
      </c>
      <c r="Z30" s="21">
        <f t="shared" si="3"/>
        <v>0.81339712918659746</v>
      </c>
      <c r="AB30" s="2">
        <v>44947</v>
      </c>
      <c r="AC30">
        <f>SUMIFS(CPI_Data[Egg],CPI_Data[Year],YEAR(A30),CPI_Data[Month],TEXT(A30,"mmmm"),CPI_Data[Sector],"Rural+Urban")</f>
        <v>194.5</v>
      </c>
      <c r="AD30" s="21">
        <f t="shared" si="4"/>
        <v>2.2607781282860206</v>
      </c>
      <c r="AF30" s="2">
        <v>44947</v>
      </c>
      <c r="AG30">
        <f>SUMIFS(CPI_Data[Milk and products],CPI_Data[Year],YEAR(A30),CPI_Data[Month],TEXT(A30,"mmmm"),CPI_Data[Sector],"Rural+Urban")</f>
        <v>174.6</v>
      </c>
      <c r="AH30" s="21">
        <f t="shared" si="5"/>
        <v>0.57603686635944706</v>
      </c>
      <c r="AJ30" s="2">
        <v>44947</v>
      </c>
      <c r="AK30">
        <f>SUMIFS(CPI_Data[Vegetables],CPI_Data[Year],YEAR(A30),CPI_Data[Month],TEXT(A30,"mmmm"),CPI_Data[Sector],"Rural+Urban")</f>
        <v>153.9</v>
      </c>
      <c r="AL30" s="21">
        <f t="shared" si="6"/>
        <v>-3.7523452157598496</v>
      </c>
      <c r="AN30" s="2">
        <v>44947</v>
      </c>
      <c r="AO30">
        <f>SUMIFS(CPI_Data[Fuel and light],CPI_Data[Year],YEAR(A30),CPI_Data[Month],TEXT(A30,"mmmm"),CPI_Data[Sector],"Rural+Urban")</f>
        <v>182</v>
      </c>
      <c r="AP30" s="21">
        <f t="shared" si="7"/>
        <v>0</v>
      </c>
      <c r="AR30" s="2">
        <v>44947</v>
      </c>
      <c r="AS30">
        <f>SUMIFS(CPI_Data[Health],CPI_Data[Year],YEAR(A30),CPI_Data[Month],TEXT(A30,"mmmm"),CPI_Data[Sector],"Rural+Urban")</f>
        <v>182.3</v>
      </c>
      <c r="AT30" s="21">
        <f t="shared" si="8"/>
        <v>0.66261733848703319</v>
      </c>
      <c r="AV30" s="2">
        <v>44947</v>
      </c>
      <c r="AW30">
        <f>SUMIFS(CPI_Data[Transport and communication],CPI_Data[Year],YEAR(A30),CPI_Data[Month],TEXT(A30,"mmmm"),CPI_Data[Sector],"Rural+Urban")</f>
        <v>163.6</v>
      </c>
      <c r="AX30" s="21">
        <f t="shared" si="9"/>
        <v>0.12239902080782657</v>
      </c>
      <c r="AZ30" s="2">
        <v>44947</v>
      </c>
      <c r="BA30">
        <f>SUMIFS(CPI_Data[Education],CPI_Data[Year],YEAR(A30),CPI_Data[Month],TEXT(A30,"mmmm"),CPI_Data[Sector],"Rural+Urban")</f>
        <v>174.3</v>
      </c>
      <c r="BB30" s="21">
        <f t="shared" si="10"/>
        <v>0.11487650775417407</v>
      </c>
    </row>
    <row r="31" spans="1:54" x14ac:dyDescent="0.25">
      <c r="A31" s="22">
        <v>44978</v>
      </c>
      <c r="B31" s="24" cm="1">
        <f t="array" ref="B31">_xlfn.XLOOKUP(1,(CPI_Data[Year]=YEAR(A31))*(CPI_Data[Month]=TEXT(A31,"mmmm"))*(CPI_Data[Sector]="Rural+Urban"),CPI_Data[Oils and fats])</f>
        <v>179.3</v>
      </c>
      <c r="C31" s="25">
        <f t="shared" si="0"/>
        <v>-4.2200854700854578</v>
      </c>
      <c r="E31" s="65"/>
      <c r="F31" s="47"/>
      <c r="P31" s="2">
        <v>44978</v>
      </c>
      <c r="Q31">
        <f>SUMIFS(CPI_Data[Food and beverages],CPI_Data[Year],YEAR(P31),CPI_Data[Month],TEXT(P31,"mmmm"),CPI_Data[Sector],"Rural+Urban")</f>
        <v>177</v>
      </c>
      <c r="R31" s="21">
        <f t="shared" si="1"/>
        <v>0.16977928692700134</v>
      </c>
      <c r="T31" s="2">
        <v>44978</v>
      </c>
      <c r="U31">
        <f>SUMIFS(CPI_Data[Cereals and products],CPI_Data[Year],YEAR(A31),CPI_Data[Month],TEXT(A31,"mmmm"),CPI_Data[Sector],"Rural+Urban")</f>
        <v>174.4</v>
      </c>
      <c r="V31" s="21">
        <f t="shared" si="2"/>
        <v>0.34522439585730397</v>
      </c>
      <c r="X31" s="2">
        <v>44978</v>
      </c>
      <c r="Y31">
        <f>SUMIFS(CPI_Data[Meat and fish],CPI_Data[Year],YEAR(A31),CPI_Data[Month],TEXT(A31,"mmmm"),CPI_Data[Sector],"Rural+Urban")</f>
        <v>207.7</v>
      </c>
      <c r="Z31" s="21">
        <f t="shared" si="3"/>
        <v>-1.423825344091125</v>
      </c>
      <c r="AB31" s="2">
        <v>44978</v>
      </c>
      <c r="AC31">
        <f>SUMIFS(CPI_Data[Egg],CPI_Data[Year],YEAR(A31),CPI_Data[Month],TEXT(A31,"mmmm"),CPI_Data[Sector],"Rural+Urban")</f>
        <v>175.2</v>
      </c>
      <c r="AD31" s="21">
        <f t="shared" si="4"/>
        <v>-9.922879177377899</v>
      </c>
      <c r="AF31" s="2">
        <v>44978</v>
      </c>
      <c r="AG31">
        <f>SUMIFS(CPI_Data[Milk and products],CPI_Data[Year],YEAR(A31),CPI_Data[Month],TEXT(A31,"mmmm"),CPI_Data[Sector],"Rural+Urban")</f>
        <v>177.3</v>
      </c>
      <c r="AH31" s="21">
        <f t="shared" si="5"/>
        <v>1.5463917525773294</v>
      </c>
      <c r="AJ31" s="2">
        <v>44978</v>
      </c>
      <c r="AK31">
        <f>SUMIFS(CPI_Data[Vegetables],CPI_Data[Year],YEAR(A31),CPI_Data[Month],TEXT(A31,"mmmm"),CPI_Data[Sector],"Rural+Urban")</f>
        <v>152.69999999999999</v>
      </c>
      <c r="AL31" s="21">
        <f t="shared" si="6"/>
        <v>-0.77972709551658026</v>
      </c>
      <c r="AN31" s="2">
        <v>44978</v>
      </c>
      <c r="AO31">
        <f>SUMIFS(CPI_Data[Fuel and light],CPI_Data[Year],YEAR(A31),CPI_Data[Month],TEXT(A31,"mmmm"),CPI_Data[Sector],"Rural+Urban")</f>
        <v>182.1</v>
      </c>
      <c r="AP31" s="21">
        <f t="shared" si="7"/>
        <v>5.4945054945051822E-2</v>
      </c>
      <c r="AR31" s="2">
        <v>44978</v>
      </c>
      <c r="AS31">
        <f>SUMIFS(CPI_Data[Health],CPI_Data[Year],YEAR(A31),CPI_Data[Month],TEXT(A31,"mmmm"),CPI_Data[Sector],"Rural+Urban")</f>
        <v>184.4</v>
      </c>
      <c r="AT31" s="21">
        <f t="shared" si="8"/>
        <v>1.1519473395501889</v>
      </c>
      <c r="AV31" s="2">
        <v>44978</v>
      </c>
      <c r="AW31">
        <f>SUMIFS(CPI_Data[Transport and communication],CPI_Data[Year],YEAR(A31),CPI_Data[Month],TEXT(A31,"mmmm"),CPI_Data[Sector],"Rural+Urban")</f>
        <v>164.2</v>
      </c>
      <c r="AX31" s="21">
        <f t="shared" si="9"/>
        <v>0.36674816625916523</v>
      </c>
      <c r="AZ31" s="2">
        <v>44978</v>
      </c>
      <c r="BA31">
        <f>SUMIFS(CPI_Data[Education],CPI_Data[Year],YEAR(A31),CPI_Data[Month],TEXT(A31,"mmmm"),CPI_Data[Sector],"Rural+Urban")</f>
        <v>175</v>
      </c>
      <c r="BB31" s="21">
        <f t="shared" si="10"/>
        <v>0.40160642570280469</v>
      </c>
    </row>
    <row r="32" spans="1:54" x14ac:dyDescent="0.25">
      <c r="A32" s="22">
        <v>45006</v>
      </c>
      <c r="B32" s="24" cm="1">
        <f t="array" ref="B32">_xlfn.XLOOKUP(1,(CPI_Data[Year]=YEAR(A32))*(CPI_Data[Month]=TEXT(A32,"mmmm"))*(CPI_Data[Sector]="Rural+Urban"),CPI_Data[Oils and fats])</f>
        <v>179.2</v>
      </c>
      <c r="C32" s="25">
        <f t="shared" si="0"/>
        <v>-5.5772448410497895E-2</v>
      </c>
      <c r="E32" s="65"/>
      <c r="F32" s="47"/>
      <c r="P32" s="2">
        <v>45006</v>
      </c>
      <c r="Q32">
        <f>SUMIFS(CPI_Data[Food and beverages],CPI_Data[Year],YEAR(P32),CPI_Data[Month],TEXT(P32,"mmmm"),CPI_Data[Sector],"Rural+Urban")</f>
        <v>177</v>
      </c>
      <c r="R32" s="21">
        <f t="shared" si="1"/>
        <v>0</v>
      </c>
      <c r="T32" s="2">
        <v>45006</v>
      </c>
      <c r="U32">
        <f>SUMIFS(CPI_Data[Cereals and products],CPI_Data[Year],YEAR(A32),CPI_Data[Month],TEXT(A32,"mmmm"),CPI_Data[Sector],"Rural+Urban")</f>
        <v>174.4</v>
      </c>
      <c r="V32" s="21">
        <f t="shared" si="2"/>
        <v>0</v>
      </c>
      <c r="X32" s="2">
        <v>45006</v>
      </c>
      <c r="Y32">
        <f>SUMIFS(CPI_Data[Meat and fish],CPI_Data[Year],YEAR(A32),CPI_Data[Month],TEXT(A32,"mmmm"),CPI_Data[Sector],"Rural+Urban")</f>
        <v>207.7</v>
      </c>
      <c r="Z32" s="21">
        <f t="shared" si="3"/>
        <v>0</v>
      </c>
      <c r="AB32" s="2">
        <v>45006</v>
      </c>
      <c r="AC32">
        <f>SUMIFS(CPI_Data[Egg],CPI_Data[Year],YEAR(A32),CPI_Data[Month],TEXT(A32,"mmmm"),CPI_Data[Sector],"Rural+Urban")</f>
        <v>175.2</v>
      </c>
      <c r="AD32" s="21">
        <f t="shared" si="4"/>
        <v>0</v>
      </c>
      <c r="AF32" s="2">
        <v>45006</v>
      </c>
      <c r="AG32">
        <f>SUMIFS(CPI_Data[Milk and products],CPI_Data[Year],YEAR(A32),CPI_Data[Month],TEXT(A32,"mmmm"),CPI_Data[Sector],"Rural+Urban")</f>
        <v>177.3</v>
      </c>
      <c r="AH32" s="21">
        <f t="shared" si="5"/>
        <v>0</v>
      </c>
      <c r="AJ32" s="2">
        <v>45006</v>
      </c>
      <c r="AK32">
        <f>SUMIFS(CPI_Data[Vegetables],CPI_Data[Year],YEAR(A32),CPI_Data[Month],TEXT(A32,"mmmm"),CPI_Data[Sector],"Rural+Urban")</f>
        <v>152.80000000000001</v>
      </c>
      <c r="AL32" s="21">
        <f t="shared" si="6"/>
        <v>6.5487884741337751E-2</v>
      </c>
      <c r="AN32" s="2">
        <v>45006</v>
      </c>
      <c r="AO32">
        <f>SUMIFS(CPI_Data[Fuel and light],CPI_Data[Year],YEAR(A32),CPI_Data[Month],TEXT(A32,"mmmm"),CPI_Data[Sector],"Rural+Urban")</f>
        <v>181.9</v>
      </c>
      <c r="AP32" s="21">
        <f t="shared" si="7"/>
        <v>-0.10982976386600145</v>
      </c>
      <c r="AR32" s="2">
        <v>45006</v>
      </c>
      <c r="AS32">
        <f>SUMIFS(CPI_Data[Health],CPI_Data[Year],YEAR(A32),CPI_Data[Month],TEXT(A32,"mmmm"),CPI_Data[Sector],"Rural+Urban")</f>
        <v>184.4</v>
      </c>
      <c r="AT32" s="21">
        <f t="shared" si="8"/>
        <v>0</v>
      </c>
      <c r="AV32" s="2">
        <v>45006</v>
      </c>
      <c r="AW32">
        <f>SUMIFS(CPI_Data[Transport and communication],CPI_Data[Year],YEAR(A32),CPI_Data[Month],TEXT(A32,"mmmm"),CPI_Data[Sector],"Rural+Urban")</f>
        <v>164.2</v>
      </c>
      <c r="AX32" s="21">
        <f t="shared" si="9"/>
        <v>0</v>
      </c>
      <c r="AZ32" s="2">
        <v>45006</v>
      </c>
      <c r="BA32">
        <f>SUMIFS(CPI_Data[Education],CPI_Data[Year],YEAR(A32),CPI_Data[Month],TEXT(A32,"mmmm"),CPI_Data[Sector],"Rural+Urban")</f>
        <v>175</v>
      </c>
      <c r="BB32" s="21">
        <f t="shared" si="10"/>
        <v>0</v>
      </c>
    </row>
    <row r="33" spans="1:54" x14ac:dyDescent="0.25">
      <c r="A33" s="22">
        <v>45037</v>
      </c>
      <c r="B33" s="24" cm="1">
        <f t="array" ref="B33">_xlfn.XLOOKUP(1,(CPI_Data[Year]=YEAR(A33))*(CPI_Data[Month]=TEXT(A33,"mmmm"))*(CPI_Data[Sector]="Rural+Urban"),CPI_Data[Oils and fats])</f>
        <v>174.9</v>
      </c>
      <c r="C33" s="25">
        <f t="shared" si="0"/>
        <v>-2.3995535714285623</v>
      </c>
      <c r="E33" s="65"/>
      <c r="F33" s="47"/>
      <c r="P33" s="2">
        <v>45037</v>
      </c>
      <c r="Q33">
        <f>SUMIFS(CPI_Data[Food and beverages],CPI_Data[Year],YEAR(P33),CPI_Data[Month],TEXT(P33,"mmmm"),CPI_Data[Sector],"Rural+Urban")</f>
        <v>177.9</v>
      </c>
      <c r="R33" s="21">
        <f t="shared" si="1"/>
        <v>0.50847457627118964</v>
      </c>
      <c r="T33" s="2">
        <v>45037</v>
      </c>
      <c r="U33">
        <f>SUMIFS(CPI_Data[Cereals and products],CPI_Data[Year],YEAR(A33),CPI_Data[Month],TEXT(A33,"mmmm"),CPI_Data[Sector],"Rural+Urban")</f>
        <v>173.8</v>
      </c>
      <c r="V33" s="21">
        <f t="shared" si="2"/>
        <v>-0.34403669724770314</v>
      </c>
      <c r="X33" s="2">
        <v>45037</v>
      </c>
      <c r="Y33">
        <f>SUMIFS(CPI_Data[Meat and fish],CPI_Data[Year],YEAR(A33),CPI_Data[Month],TEXT(A33,"mmmm"),CPI_Data[Sector],"Rural+Urban")</f>
        <v>209.3</v>
      </c>
      <c r="Z33" s="21">
        <f t="shared" si="3"/>
        <v>0.77034183919115207</v>
      </c>
      <c r="AB33" s="2">
        <v>45037</v>
      </c>
      <c r="AC33">
        <f>SUMIFS(CPI_Data[Egg],CPI_Data[Year],YEAR(A33),CPI_Data[Month],TEXT(A33,"mmmm"),CPI_Data[Sector],"Rural+Urban")</f>
        <v>169.6</v>
      </c>
      <c r="AD33" s="21">
        <f t="shared" si="4"/>
        <v>-3.1963470319634673</v>
      </c>
      <c r="AF33" s="2">
        <v>45037</v>
      </c>
      <c r="AG33">
        <f>SUMIFS(CPI_Data[Milk and products],CPI_Data[Year],YEAR(A33),CPI_Data[Month],TEXT(A33,"mmmm"),CPI_Data[Sector],"Rural+Urban")</f>
        <v>178.4</v>
      </c>
      <c r="AH33" s="21">
        <f t="shared" si="5"/>
        <v>0.62041737168640398</v>
      </c>
      <c r="AJ33" s="2">
        <v>45037</v>
      </c>
      <c r="AK33">
        <f>SUMIFS(CPI_Data[Vegetables],CPI_Data[Year],YEAR(A33),CPI_Data[Month],TEXT(A33,"mmmm"),CPI_Data[Sector],"Rural+Urban")</f>
        <v>155.4</v>
      </c>
      <c r="AL33" s="21">
        <f t="shared" si="6"/>
        <v>1.7015706806282684</v>
      </c>
      <c r="AN33" s="2">
        <v>45037</v>
      </c>
      <c r="AO33">
        <f>SUMIFS(CPI_Data[Fuel and light],CPI_Data[Year],YEAR(A33),CPI_Data[Month],TEXT(A33,"mmmm"),CPI_Data[Sector],"Rural+Urban")</f>
        <v>181.7</v>
      </c>
      <c r="AP33" s="21">
        <f t="shared" si="7"/>
        <v>-0.10995052226499014</v>
      </c>
      <c r="AR33" s="2">
        <v>45037</v>
      </c>
      <c r="AS33">
        <f>SUMIFS(CPI_Data[Health],CPI_Data[Year],YEAR(A33),CPI_Data[Month],TEXT(A33,"mmmm"),CPI_Data[Sector],"Rural+Urban")</f>
        <v>185</v>
      </c>
      <c r="AT33" s="21">
        <f t="shared" si="8"/>
        <v>0.32537960954446543</v>
      </c>
      <c r="AV33" s="2">
        <v>45037</v>
      </c>
      <c r="AW33">
        <f>SUMIFS(CPI_Data[Transport and communication],CPI_Data[Year],YEAR(A33),CPI_Data[Month],TEXT(A33,"mmmm"),CPI_Data[Sector],"Rural+Urban")</f>
        <v>164.5</v>
      </c>
      <c r="AX33" s="21">
        <f t="shared" si="9"/>
        <v>0.18270401948843568</v>
      </c>
      <c r="AZ33" s="2">
        <v>45037</v>
      </c>
      <c r="BA33">
        <f>SUMIFS(CPI_Data[Education],CPI_Data[Year],YEAR(A33),CPI_Data[Month],TEXT(A33,"mmmm"),CPI_Data[Sector],"Rural+Urban")</f>
        <v>176.4</v>
      </c>
      <c r="BB33" s="21">
        <f t="shared" si="10"/>
        <v>0.80000000000000326</v>
      </c>
    </row>
    <row r="34" spans="1:54" x14ac:dyDescent="0.25">
      <c r="A34" s="2"/>
      <c r="E34" s="65"/>
      <c r="F34" s="47"/>
    </row>
    <row r="35" spans="1:54" x14ac:dyDescent="0.25">
      <c r="A35" s="2"/>
      <c r="E35" s="65"/>
      <c r="F35" s="47"/>
    </row>
    <row r="36" spans="1:54" x14ac:dyDescent="0.25">
      <c r="A36" s="2"/>
      <c r="E36" s="65"/>
      <c r="F36" s="47"/>
    </row>
    <row r="37" spans="1:54" x14ac:dyDescent="0.25">
      <c r="A37" s="2"/>
      <c r="E37" s="65"/>
      <c r="F37" s="47"/>
    </row>
    <row r="38" spans="1:54" x14ac:dyDescent="0.25">
      <c r="A38" s="2"/>
      <c r="E38" s="65"/>
      <c r="F38" s="47"/>
    </row>
    <row r="39" spans="1:54" x14ac:dyDescent="0.25">
      <c r="A39" s="2"/>
      <c r="E39" s="65"/>
      <c r="F39" s="47"/>
    </row>
    <row r="40" spans="1:54" x14ac:dyDescent="0.25">
      <c r="A40" s="2"/>
      <c r="E40" s="65"/>
      <c r="F40" s="47"/>
    </row>
    <row r="41" spans="1:54" x14ac:dyDescent="0.25">
      <c r="A41" s="2"/>
      <c r="E41" s="65"/>
      <c r="F41" s="47"/>
    </row>
    <row r="42" spans="1:54" x14ac:dyDescent="0.25">
      <c r="A42" s="2"/>
      <c r="E42" s="65"/>
      <c r="F42" s="47"/>
    </row>
    <row r="43" spans="1:54" x14ac:dyDescent="0.25">
      <c r="A43" s="2"/>
      <c r="E43" s="65"/>
      <c r="F43" s="47"/>
    </row>
    <row r="44" spans="1:54" x14ac:dyDescent="0.25">
      <c r="A44" s="2"/>
      <c r="E44" s="65"/>
      <c r="F44" s="47"/>
    </row>
    <row r="45" spans="1:54" x14ac:dyDescent="0.25">
      <c r="A45" s="2"/>
      <c r="E45" s="65"/>
      <c r="F45" s="47"/>
    </row>
    <row r="46" spans="1:54" x14ac:dyDescent="0.25">
      <c r="A46" s="2"/>
      <c r="E46" s="65"/>
      <c r="F46" s="47"/>
    </row>
    <row r="47" spans="1:54" x14ac:dyDescent="0.25">
      <c r="A47" s="2"/>
      <c r="E47" s="65"/>
      <c r="F47" s="47"/>
    </row>
    <row r="48" spans="1:54" x14ac:dyDescent="0.25">
      <c r="A48" s="2"/>
    </row>
    <row r="49" spans="1:1" x14ac:dyDescent="0.25">
      <c r="A49" s="2"/>
    </row>
    <row r="50" spans="1:1" x14ac:dyDescent="0.25">
      <c r="A50" s="2"/>
    </row>
    <row r="51" spans="1:1" x14ac:dyDescent="0.25">
      <c r="A51" s="2"/>
    </row>
    <row r="52" spans="1:1" x14ac:dyDescent="0.25">
      <c r="A52" s="2"/>
    </row>
    <row r="53" spans="1:1" x14ac:dyDescent="0.25">
      <c r="A53" s="2"/>
    </row>
    <row r="54" spans="1:1" x14ac:dyDescent="0.25">
      <c r="A54" s="2"/>
    </row>
    <row r="55" spans="1:1" x14ac:dyDescent="0.25">
      <c r="A55" s="2"/>
    </row>
    <row r="56" spans="1:1" x14ac:dyDescent="0.25">
      <c r="A56" s="2"/>
    </row>
    <row r="57" spans="1:1" x14ac:dyDescent="0.25">
      <c r="A57" s="2"/>
    </row>
    <row r="58" spans="1:1" x14ac:dyDescent="0.25">
      <c r="A58" s="2"/>
    </row>
    <row r="59" spans="1:1" x14ac:dyDescent="0.25">
      <c r="A59" s="2"/>
    </row>
    <row r="60" spans="1:1" x14ac:dyDescent="0.25">
      <c r="A60" s="2"/>
    </row>
    <row r="61" spans="1:1" x14ac:dyDescent="0.25">
      <c r="A61" s="2"/>
    </row>
    <row r="62" spans="1:1" x14ac:dyDescent="0.25">
      <c r="A62" s="2"/>
    </row>
    <row r="63" spans="1:1" x14ac:dyDescent="0.25">
      <c r="A63" s="2"/>
    </row>
    <row r="64" spans="1:1" x14ac:dyDescent="0.25">
      <c r="A64" s="2"/>
    </row>
    <row r="65" spans="1:1" x14ac:dyDescent="0.25">
      <c r="A65" s="2"/>
    </row>
    <row r="66" spans="1:1" x14ac:dyDescent="0.25">
      <c r="A66" s="2"/>
    </row>
    <row r="67" spans="1:1" x14ac:dyDescent="0.25">
      <c r="A67" s="2"/>
    </row>
    <row r="68" spans="1:1" x14ac:dyDescent="0.25">
      <c r="A68" s="2"/>
    </row>
    <row r="69" spans="1:1" x14ac:dyDescent="0.25">
      <c r="A69" s="2"/>
    </row>
    <row r="70" spans="1:1" x14ac:dyDescent="0.25">
      <c r="A70" s="2"/>
    </row>
    <row r="71" spans="1:1" x14ac:dyDescent="0.25">
      <c r="A71" s="2"/>
    </row>
    <row r="72" spans="1:1" x14ac:dyDescent="0.25">
      <c r="A72" s="2"/>
    </row>
    <row r="73" spans="1:1" x14ac:dyDescent="0.25">
      <c r="A73" s="2"/>
    </row>
    <row r="74" spans="1:1" x14ac:dyDescent="0.25">
      <c r="A74" s="2"/>
    </row>
    <row r="75" spans="1:1" x14ac:dyDescent="0.25">
      <c r="A75" s="2"/>
    </row>
    <row r="76" spans="1:1" x14ac:dyDescent="0.25">
      <c r="A76" s="2"/>
    </row>
    <row r="77" spans="1:1" x14ac:dyDescent="0.25">
      <c r="A77" s="2"/>
    </row>
    <row r="78" spans="1:1" x14ac:dyDescent="0.25">
      <c r="A78" s="2"/>
    </row>
    <row r="79" spans="1:1" x14ac:dyDescent="0.25">
      <c r="A79" s="2"/>
    </row>
    <row r="80" spans="1:1" x14ac:dyDescent="0.25">
      <c r="A80" s="2"/>
    </row>
    <row r="81" spans="1:1" x14ac:dyDescent="0.25">
      <c r="A81" s="2"/>
    </row>
    <row r="82" spans="1:1" x14ac:dyDescent="0.25">
      <c r="A82" s="2"/>
    </row>
    <row r="83" spans="1:1" x14ac:dyDescent="0.25">
      <c r="A83" s="2"/>
    </row>
    <row r="84" spans="1:1" x14ac:dyDescent="0.25">
      <c r="A84" s="2"/>
    </row>
    <row r="85" spans="1:1" x14ac:dyDescent="0.25">
      <c r="A85" s="2"/>
    </row>
    <row r="86" spans="1:1" x14ac:dyDescent="0.25">
      <c r="A86" s="2"/>
    </row>
    <row r="87" spans="1:1" x14ac:dyDescent="0.25">
      <c r="A87" s="2"/>
    </row>
    <row r="88" spans="1:1" x14ac:dyDescent="0.25">
      <c r="A88" s="2"/>
    </row>
    <row r="89" spans="1:1" x14ac:dyDescent="0.25">
      <c r="A89" s="2"/>
    </row>
    <row r="90" spans="1:1" x14ac:dyDescent="0.25">
      <c r="A90" s="2"/>
    </row>
    <row r="91" spans="1:1" x14ac:dyDescent="0.25">
      <c r="A91" s="2"/>
    </row>
    <row r="92" spans="1:1" x14ac:dyDescent="0.25">
      <c r="A92" s="2"/>
    </row>
    <row r="93" spans="1:1" x14ac:dyDescent="0.25">
      <c r="A93" s="2"/>
    </row>
    <row r="94" spans="1:1" x14ac:dyDescent="0.25">
      <c r="A94" s="2"/>
    </row>
    <row r="95" spans="1:1" x14ac:dyDescent="0.25">
      <c r="A95" s="2"/>
    </row>
    <row r="96" spans="1:1" x14ac:dyDescent="0.25">
      <c r="A96" s="2"/>
    </row>
    <row r="97" spans="1:1" x14ac:dyDescent="0.25">
      <c r="A97" s="2"/>
    </row>
    <row r="98" spans="1:1" x14ac:dyDescent="0.25">
      <c r="A98" s="2"/>
    </row>
    <row r="99" spans="1:1" x14ac:dyDescent="0.25">
      <c r="A99" s="2"/>
    </row>
    <row r="100" spans="1:1" x14ac:dyDescent="0.25">
      <c r="A100" s="2"/>
    </row>
    <row r="101" spans="1:1" x14ac:dyDescent="0.25">
      <c r="A101" s="2"/>
    </row>
    <row r="102" spans="1:1" x14ac:dyDescent="0.25">
      <c r="A102" s="2"/>
    </row>
    <row r="103" spans="1:1" x14ac:dyDescent="0.25">
      <c r="A103" s="2"/>
    </row>
  </sheetData>
  <mergeCells count="1">
    <mergeCell ref="A2:G2"/>
  </mergeCells>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C0AA81-5D76-4EEC-9650-54D20CC8888D}">
  <dimension ref="A2:AM21"/>
  <sheetViews>
    <sheetView showGridLines="0" tabSelected="1" zoomScale="93" zoomScaleNormal="93" workbookViewId="0">
      <selection activeCell="R7" sqref="R7"/>
    </sheetView>
  </sheetViews>
  <sheetFormatPr defaultRowHeight="15" x14ac:dyDescent="0.25"/>
  <sheetData>
    <row r="2" spans="1:39" ht="15" customHeight="1" x14ac:dyDescent="0.25">
      <c r="A2" s="78" t="s">
        <v>124</v>
      </c>
      <c r="B2" s="79"/>
      <c r="C2" s="79"/>
      <c r="D2" s="79"/>
      <c r="E2" s="79"/>
      <c r="F2" s="79"/>
      <c r="G2" s="79"/>
      <c r="H2" s="79"/>
      <c r="I2" s="79"/>
      <c r="J2" s="79"/>
      <c r="K2" s="79"/>
      <c r="L2" s="79"/>
      <c r="M2" s="79"/>
      <c r="N2" s="79"/>
      <c r="O2" s="79"/>
      <c r="P2" s="79"/>
    </row>
    <row r="3" spans="1:39" ht="15" customHeight="1" x14ac:dyDescent="0.25">
      <c r="A3" s="78"/>
      <c r="B3" s="79"/>
      <c r="C3" s="79"/>
      <c r="D3" s="79"/>
      <c r="E3" s="79"/>
      <c r="F3" s="79"/>
      <c r="G3" s="79"/>
      <c r="H3" s="79"/>
      <c r="I3" s="79"/>
      <c r="J3" s="79"/>
      <c r="K3" s="79"/>
      <c r="L3" s="79"/>
      <c r="M3" s="79"/>
      <c r="N3" s="79"/>
      <c r="O3" s="79"/>
      <c r="P3" s="79"/>
    </row>
    <row r="4" spans="1:39" x14ac:dyDescent="0.25">
      <c r="AK4" s="33"/>
      <c r="AL4" s="34"/>
      <c r="AM4" s="35"/>
    </row>
    <row r="5" spans="1:39" x14ac:dyDescent="0.25">
      <c r="AK5" s="36"/>
      <c r="AL5" s="37"/>
      <c r="AM5" s="38"/>
    </row>
    <row r="6" spans="1:39" ht="19.5" customHeight="1" x14ac:dyDescent="0.25">
      <c r="AK6" s="36"/>
      <c r="AL6" s="37"/>
      <c r="AM6" s="38"/>
    </row>
    <row r="7" spans="1:39" x14ac:dyDescent="0.25">
      <c r="AK7" s="36"/>
      <c r="AL7" s="37"/>
      <c r="AM7" s="38"/>
    </row>
    <row r="8" spans="1:39" x14ac:dyDescent="0.25">
      <c r="AK8" s="36"/>
      <c r="AL8" s="37"/>
      <c r="AM8" s="38"/>
    </row>
    <row r="9" spans="1:39" x14ac:dyDescent="0.25">
      <c r="AK9" s="36"/>
      <c r="AL9" s="37"/>
      <c r="AM9" s="38"/>
    </row>
    <row r="10" spans="1:39" x14ac:dyDescent="0.25">
      <c r="AK10" s="36"/>
      <c r="AL10" s="37"/>
      <c r="AM10" s="38"/>
    </row>
    <row r="11" spans="1:39" x14ac:dyDescent="0.25">
      <c r="AK11" s="36"/>
      <c r="AL11" s="37"/>
      <c r="AM11" s="38"/>
    </row>
    <row r="12" spans="1:39" x14ac:dyDescent="0.25">
      <c r="AK12" s="36"/>
      <c r="AL12" s="37"/>
      <c r="AM12" s="38"/>
    </row>
    <row r="13" spans="1:39" x14ac:dyDescent="0.25">
      <c r="AK13" s="36"/>
      <c r="AL13" s="37"/>
      <c r="AM13" s="38"/>
    </row>
    <row r="14" spans="1:39" x14ac:dyDescent="0.25">
      <c r="AK14" s="36"/>
      <c r="AL14" s="37"/>
      <c r="AM14" s="38"/>
    </row>
    <row r="15" spans="1:39" x14ac:dyDescent="0.25">
      <c r="AK15" s="36"/>
      <c r="AL15" s="37"/>
      <c r="AM15" s="38"/>
    </row>
    <row r="16" spans="1:39" x14ac:dyDescent="0.25">
      <c r="AK16" s="36"/>
      <c r="AL16" s="37"/>
      <c r="AM16" s="38"/>
    </row>
    <row r="17" spans="37:39" x14ac:dyDescent="0.25">
      <c r="AK17" s="36"/>
      <c r="AL17" s="37"/>
      <c r="AM17" s="38"/>
    </row>
    <row r="18" spans="37:39" x14ac:dyDescent="0.25">
      <c r="AK18" s="36"/>
      <c r="AL18" s="37"/>
      <c r="AM18" s="38"/>
    </row>
    <row r="19" spans="37:39" x14ac:dyDescent="0.25">
      <c r="AK19" s="36"/>
      <c r="AL19" s="37"/>
      <c r="AM19" s="38"/>
    </row>
    <row r="20" spans="37:39" x14ac:dyDescent="0.25">
      <c r="AK20" s="36"/>
      <c r="AL20" s="37"/>
      <c r="AM20" s="38"/>
    </row>
    <row r="21" spans="37:39" x14ac:dyDescent="0.25">
      <c r="AK21" s="39"/>
      <c r="AL21" s="40"/>
      <c r="AM21" s="41"/>
    </row>
  </sheetData>
  <mergeCells count="1">
    <mergeCell ref="A2:P3"/>
  </mergeCells>
  <pageMargins left="0.7" right="0.7" top="0.75" bottom="0.75" header="0.3" footer="0.3"/>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Raw_Data</vt:lpstr>
      <vt:lpstr>Clean_Data</vt:lpstr>
      <vt:lpstr>Q1_Contribution</vt:lpstr>
      <vt:lpstr>Q2_YoY_Trend</vt:lpstr>
      <vt:lpstr>PT YoY Trend</vt:lpstr>
      <vt:lpstr>Q3_Food_Inflation</vt:lpstr>
      <vt:lpstr>Q4_COVID</vt:lpstr>
      <vt:lpstr>Q5_OIL_ANALYSIS</vt:lpstr>
      <vt:lpstr>Dashboard </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hp</dc:creator>
  <cp:lastModifiedBy>Anshul Pal</cp:lastModifiedBy>
  <dcterms:created xsi:type="dcterms:W3CDTF">2026-10-04T23:44:54Z</dcterms:created>
  <dcterms:modified xsi:type="dcterms:W3CDTF">2026-10-11T13:08:11Z</dcterms:modified>
</cp:coreProperties>
</file>